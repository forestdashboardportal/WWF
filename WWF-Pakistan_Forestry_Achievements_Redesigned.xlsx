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_Forestry_Data" sheetId="1" state="visible" r:id="rId1"/>
    <sheet xmlns:r="http://schemas.openxmlformats.org/officeDocument/2006/relationships" name="Forestry_Data_Wide" sheetId="2" state="visible" r:id="rId2"/>
    <sheet xmlns:r="http://schemas.openxmlformats.org/officeDocument/2006/relationships" name="Dashboard_KPIs" sheetId="3" state="visible" r:id="rId3"/>
    <sheet xmlns:r="http://schemas.openxmlformats.org/officeDocument/2006/relationships" name="Metadata_Dictionary" sheetId="4" state="visible" r:id="rId4"/>
    <sheet xmlns:r="http://schemas.openxmlformats.org/officeDocument/2006/relationships" name="Original_Templat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17563A"/>
      <sz val="9"/>
    </font>
    <font>
      <name val="Calibri"/>
      <b val="1"/>
      <color rgb="0017563A"/>
      <sz val="18"/>
    </font>
    <font>
      <name val="Calibri"/>
      <b val="1"/>
      <color rgb="000D3824"/>
      <sz val="11"/>
    </font>
  </fonts>
  <fills count="8">
    <fill>
      <patternFill/>
    </fill>
    <fill>
      <patternFill patternType="gray125"/>
    </fill>
    <fill>
      <patternFill patternType="solid">
        <fgColor rgb="0017563A"/>
        <bgColor rgb="0017563A"/>
      </patternFill>
    </fill>
    <fill>
      <patternFill patternType="solid">
        <fgColor rgb="00FFFFFF"/>
        <bgColor rgb="00FFFFFF"/>
      </patternFill>
    </fill>
    <fill>
      <patternFill patternType="solid">
        <fgColor rgb="00F7FAF8"/>
        <bgColor rgb="00F7FAF8"/>
      </patternFill>
    </fill>
    <fill>
      <patternFill patternType="solid">
        <fgColor rgb="00E7F1EA"/>
        <bgColor rgb="00E7F1EA"/>
      </patternFill>
    </fill>
    <fill>
      <patternFill patternType="solid">
        <fgColor rgb="00D2E5D8"/>
        <bgColor rgb="00D2E5D8"/>
      </patternFill>
    </fill>
    <fill>
      <patternFill patternType="solid">
        <fgColor rgb="00E5ECE7"/>
        <bgColor rgb="00E5ECE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7563A"/>
      </left>
      <right style="medium">
        <color rgb="0017563A"/>
      </right>
      <top style="medium">
        <color rgb="0017563A"/>
      </top>
      <bottom style="medium">
        <color rgb="0017563A"/>
      </bottom>
    </border>
    <border>
      <left style="thin">
        <color rgb="00D9D9D9"/>
      </left>
      <right style="thin">
        <color rgb="00D9D9D9"/>
      </right>
      <top style="thin">
        <color rgb="0017563A"/>
      </top>
      <bottom style="double">
        <color rgb="0017563A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0" fillId="0" borderId="2" pivotButton="0" quotePrefix="0" xfId="0"/>
    <xf numFmtId="3" fontId="6" fillId="5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1" fontId="6" fillId="5" borderId="2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3" fontId="0" fillId="4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3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3" borderId="1" applyAlignment="1" pivotButton="0" quotePrefix="0" xfId="0">
      <alignment horizontal="center"/>
    </xf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3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7" fillId="7" borderId="3" applyAlignment="1" pivotButton="0" quotePrefix="0" xfId="0">
      <alignment horizontal="left"/>
    </xf>
    <xf numFmtId="3" fontId="7" fillId="7" borderId="3" pivotButton="0" quotePrefix="0" xfId="0"/>
    <xf numFmtId="164" fontId="7" fillId="7" borderId="3" pivotButton="0" quotePrefix="0" xfId="0"/>
    <xf numFmtId="165" fontId="7" fillId="7" borderId="3" pivotButton="0" quotePrefix="0" xfId="0"/>
    <xf numFmtId="0" fontId="7" fillId="7" borderId="3" pivotButton="0" quotePrefix="0" xfId="0"/>
    <xf numFmtId="0" fontId="0" fillId="0" borderId="1" pivotButton="0" quotePrefix="0" xfId="0"/>
    <xf numFmtId="0" fontId="0" fillId="3" borderId="1" applyAlignment="1" pivotButton="0" quotePrefix="0" xfId="0">
      <alignment horizontal="left" vertical="center"/>
    </xf>
    <xf numFmtId="0" fontId="0" fillId="3" borderId="1" pivotButton="0" quotePrefix="0" xfId="0"/>
    <xf numFmtId="3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3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pivotButton="0" quotePrefix="0" xfId="0"/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center" vertical="center"/>
    </xf>
    <xf numFmtId="0" fontId="0" fillId="7" borderId="3" pivotButton="0" quotePrefix="0" xfId="0"/>
    <xf numFmtId="0" fontId="1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Plants Planted / Distributed (2023–2026)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'Dashboard_KPIs'!C11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'Dashboard_KPIs'!$B$12:$B$15</f>
            </numRef>
          </cat>
          <val>
            <numRef>
              <f>'Dashboard_KPIs'!$C$12:$C$15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Plants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Plant Share by WWF Practice</a:t>
            </a:r>
          </a:p>
        </rich>
      </tx>
    </title>
    <plotArea>
      <pieChart>
        <varyColors val="1"/>
        <ser>
          <idx val="0"/>
          <order val="0"/>
          <tx>
            <strRef>
              <f>'Dashboard_KPIs'!I11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'Dashboard_KPIs'!$H$12:$H$15</f>
            </numRef>
          </cat>
          <val>
            <numRef>
              <f>'Dashboard_KPIs'!$I$12:$I$15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23" customWidth="1" min="3" max="3"/>
    <col width="42" customWidth="1" min="4" max="4"/>
    <col width="42" customWidth="1" min="5" max="5"/>
    <col width="18" customWidth="1" min="6" max="6"/>
    <col width="42" customWidth="1" min="7" max="7"/>
    <col width="42" customWidth="1" min="8" max="8"/>
    <col width="10" customWidth="1" min="9" max="9"/>
    <col width="16" customWidth="1" min="10" max="10"/>
    <col width="18" customWidth="1" min="11" max="11"/>
    <col width="18" customWidth="1" min="12" max="12"/>
    <col width="50" customWidth="1" min="13" max="13"/>
  </cols>
  <sheetData>
    <row r="1" ht="28" customHeight="1">
      <c r="A1" s="1" t="inlineStr">
        <is>
          <t>Record_ID</t>
        </is>
      </c>
      <c r="B1" s="1" t="inlineStr">
        <is>
          <t>Practice</t>
        </is>
      </c>
      <c r="C1" s="1" t="inlineStr">
        <is>
          <t>Province_Region</t>
        </is>
      </c>
      <c r="D1" s="1" t="inlineStr">
        <is>
          <t>Project_Name</t>
        </is>
      </c>
      <c r="E1" s="1" t="inlineStr">
        <is>
          <t>Intervention_Category</t>
        </is>
      </c>
      <c r="F1" s="1" t="inlineStr">
        <is>
          <t>Intervention_Code</t>
        </is>
      </c>
      <c r="G1" s="1" t="inlineStr">
        <is>
          <t>Intervention_Name</t>
        </is>
      </c>
      <c r="H1" s="1" t="inlineStr">
        <is>
          <t>Intervention_Description</t>
        </is>
      </c>
      <c r="I1" s="1" t="inlineStr">
        <is>
          <t>Year</t>
        </is>
      </c>
      <c r="J1" s="1" t="inlineStr">
        <is>
          <t>Plants_Count</t>
        </is>
      </c>
      <c r="K1" s="1" t="inlineStr">
        <is>
          <t>Area_Covered_ha</t>
        </is>
      </c>
      <c r="L1" s="1" t="inlineStr">
        <is>
          <t>Survival_Rate_pct</t>
        </is>
      </c>
      <c r="M1" s="1" t="inlineStr">
        <is>
          <t>Remarks_Evidence</t>
        </is>
      </c>
    </row>
    <row r="2" ht="20" customHeight="1">
      <c r="A2" s="2" t="n">
        <v>1</v>
      </c>
      <c r="B2" s="3" t="inlineStr">
        <is>
          <t>Forests</t>
        </is>
      </c>
      <c r="C2" s="3" t="inlineStr">
        <is>
          <t>Khyber Pakhtunkhwa</t>
        </is>
      </c>
      <c r="D2" s="3" t="inlineStr">
        <is>
          <t>Billion Tree Tsunami - KP Phase II</t>
        </is>
      </c>
      <c r="E2" s="3" t="inlineStr">
        <is>
          <t>A. AFFORESTATION, REFORESTATION AND REVEGETATION</t>
        </is>
      </c>
      <c r="F2" s="3" t="inlineStr">
        <is>
          <t>A-1</t>
        </is>
      </c>
      <c r="G2" s="3" t="inlineStr">
        <is>
          <t>Planting of seedlings</t>
        </is>
      </c>
      <c r="H2" s="3" t="inlineStr">
        <is>
          <t>Establishing trees by planting nursery-raised seedlings.</t>
        </is>
      </c>
      <c r="I2" s="4" t="n">
        <v>2023</v>
      </c>
      <c r="J2" s="5" t="n">
        <v>52000</v>
      </c>
      <c r="K2" s="6" t="n">
        <v>62</v>
      </c>
      <c r="L2" s="7" t="n">
        <v>0.78</v>
      </c>
      <c r="M2" s="3" t="inlineStr">
        <is>
          <t>Plantation records verified by KP Forest Dept; GPS - tagged plots. Annual monitoring report 2023 &amp; 2024.</t>
        </is>
      </c>
    </row>
    <row r="3" ht="20" customHeight="1">
      <c r="A3" s="8" t="n">
        <v>2</v>
      </c>
      <c r="B3" s="9" t="inlineStr">
        <is>
          <t>Forests</t>
        </is>
      </c>
      <c r="C3" s="9" t="inlineStr">
        <is>
          <t>Khyber Pakhtunkhwa</t>
        </is>
      </c>
      <c r="D3" s="9" t="inlineStr">
        <is>
          <t>Billion Tree Tsunami - KP Phase II</t>
        </is>
      </c>
      <c r="E3" s="9" t="inlineStr">
        <is>
          <t>A. AFFORESTATION, REFORESTATION AND REVEGETATION</t>
        </is>
      </c>
      <c r="F3" s="9" t="inlineStr">
        <is>
          <t>A-1</t>
        </is>
      </c>
      <c r="G3" s="9" t="inlineStr">
        <is>
          <t>Planting of seedlings</t>
        </is>
      </c>
      <c r="H3" s="9" t="inlineStr">
        <is>
          <t>Establishing trees by planting nursery-raised seedlings.</t>
        </is>
      </c>
      <c r="I3" s="10" t="n">
        <v>2024</v>
      </c>
      <c r="J3" s="11" t="n">
        <v>68500</v>
      </c>
      <c r="K3" s="12" t="n">
        <v>84.5</v>
      </c>
      <c r="L3" s="13" t="n">
        <v>0.82</v>
      </c>
      <c r="M3" s="9" t="inlineStr">
        <is>
          <t>Plantation records verified by KP Forest Dept; GPS - tagged plots. Annual monitoring report 2023 &amp; 2024.</t>
        </is>
      </c>
    </row>
    <row r="4" ht="20" customHeight="1">
      <c r="A4" s="2" t="n">
        <v>3</v>
      </c>
      <c r="B4" s="3" t="inlineStr">
        <is>
          <t>Forests</t>
        </is>
      </c>
      <c r="C4" s="3" t="inlineStr">
        <is>
          <t>Khyber Pakhtunkhwa</t>
        </is>
      </c>
      <c r="D4" s="3" t="inlineStr">
        <is>
          <t>Billion Tree Tsunami - KP Phase II</t>
        </is>
      </c>
      <c r="E4" s="3" t="inlineStr">
        <is>
          <t>A. AFFORESTATION, REFORESTATION AND REVEGETATION</t>
        </is>
      </c>
      <c r="F4" s="3" t="inlineStr">
        <is>
          <t>A-1</t>
        </is>
      </c>
      <c r="G4" s="3" t="inlineStr">
        <is>
          <t>Planting of seedlings</t>
        </is>
      </c>
      <c r="H4" s="3" t="inlineStr">
        <is>
          <t>Establishing trees by planting nursery-raised seedlings.</t>
        </is>
      </c>
      <c r="I4" s="4" t="n">
        <v>2025</v>
      </c>
      <c r="J4" s="5" t="n">
        <v>74200</v>
      </c>
      <c r="K4" s="6" t="n">
        <v>95</v>
      </c>
      <c r="L4" s="7" t="n">
        <v>0.85</v>
      </c>
      <c r="M4" s="3" t="inlineStr">
        <is>
          <t>Plantation records verified by KP Forest Dept; GPS - tagged plots. Annual monitoring report 2023 &amp; 2024.</t>
        </is>
      </c>
    </row>
    <row r="5" ht="20" customHeight="1">
      <c r="A5" s="8" t="n">
        <v>4</v>
      </c>
      <c r="B5" s="9" t="inlineStr">
        <is>
          <t>Forests</t>
        </is>
      </c>
      <c r="C5" s="9" t="inlineStr">
        <is>
          <t>Khyber Pakhtunkhwa</t>
        </is>
      </c>
      <c r="D5" s="9" t="inlineStr">
        <is>
          <t>Billion Tree Tsunami - KP Phase II</t>
        </is>
      </c>
      <c r="E5" s="9" t="inlineStr">
        <is>
          <t>A. AFFORESTATION, REFORESTATION AND REVEGETATION</t>
        </is>
      </c>
      <c r="F5" s="9" t="inlineStr">
        <is>
          <t>A-1</t>
        </is>
      </c>
      <c r="G5" s="9" t="inlineStr">
        <is>
          <t>Planting of seedlings</t>
        </is>
      </c>
      <c r="H5" s="9" t="inlineStr">
        <is>
          <t>Establishing trees by planting nursery-raised seedlings.</t>
        </is>
      </c>
      <c r="I5" s="10" t="n">
        <v>2026</v>
      </c>
      <c r="J5" s="11" t="n"/>
      <c r="K5" s="12" t="n"/>
      <c r="L5" s="13" t="n"/>
      <c r="M5" s="9" t="inlineStr">
        <is>
          <t>Plantation records verified by KP Forest Dept; GPS - tagged plots. Annual monitoring report 2023 &amp; 2024.</t>
        </is>
      </c>
    </row>
    <row r="6" ht="20" customHeight="1">
      <c r="A6" s="2" t="n">
        <v>5</v>
      </c>
      <c r="B6" s="3" t="inlineStr">
        <is>
          <t>Forests</t>
        </is>
      </c>
      <c r="C6" s="3" t="inlineStr">
        <is>
          <t>Gilgit-Baltistan</t>
        </is>
      </c>
      <c r="D6" s="3" t="inlineStr">
        <is>
          <t>Himalayan Biodiversity &amp; Watershed Mgt - Gilgit - Baltistan</t>
        </is>
      </c>
      <c r="E6" s="3" t="inlineStr">
        <is>
          <t>A. AFFORESTATION, REFORESTATION AND REVEGETATION</t>
        </is>
      </c>
      <c r="F6" s="3" t="inlineStr">
        <is>
          <t>A-2</t>
        </is>
      </c>
      <c r="G6" s="3" t="inlineStr">
        <is>
          <t>Assisted Natural Regeneration</t>
        </is>
      </c>
      <c r="H6" s="3" t="inlineStr">
        <is>
          <t>Restoring forests by protecting and managing natural regeneration, supplemented by limited seed sowing or enrichment planting.</t>
        </is>
      </c>
      <c r="I6" s="4" t="n">
        <v>2023</v>
      </c>
      <c r="J6" s="5" t="n"/>
      <c r="K6" s="6" t="n"/>
      <c r="L6" s="7" t="n"/>
      <c r="M6" s="3" t="inlineStr">
        <is>
          <t>ANR stems estimated via line - transect sampling (n=120 plots); Source: GB Forestry Dept monitoring report 2024 - Q3.</t>
        </is>
      </c>
    </row>
    <row r="7" ht="20" customHeight="1">
      <c r="A7" s="8" t="n">
        <v>6</v>
      </c>
      <c r="B7" s="9" t="inlineStr">
        <is>
          <t>Forests</t>
        </is>
      </c>
      <c r="C7" s="9" t="inlineStr">
        <is>
          <t>Gilgit-Baltistan</t>
        </is>
      </c>
      <c r="D7" s="9" t="inlineStr">
        <is>
          <t>Himalayan Biodiversity &amp; Watershed Mgt - Gilgit - Baltistan</t>
        </is>
      </c>
      <c r="E7" s="9" t="inlineStr">
        <is>
          <t>A. AFFORESTATION, REFORESTATION AND REVEGETATION</t>
        </is>
      </c>
      <c r="F7" s="9" t="inlineStr">
        <is>
          <t>A-2</t>
        </is>
      </c>
      <c r="G7" s="9" t="inlineStr">
        <is>
          <t>Assisted Natural Regeneration</t>
        </is>
      </c>
      <c r="H7" s="9" t="inlineStr">
        <is>
          <t>Restoring forests by protecting and managing natural regeneration, supplemented by limited seed sowing or enrichment planting.</t>
        </is>
      </c>
      <c r="I7" s="10" t="n">
        <v>2024</v>
      </c>
      <c r="J7" s="11" t="n">
        <v>18300</v>
      </c>
      <c r="K7" s="12" t="n">
        <v>38</v>
      </c>
      <c r="L7" s="13" t="n"/>
      <c r="M7" s="9" t="inlineStr">
        <is>
          <t>ANR stems estimated via line - transect sampling (n=120 plots); Source: GB Forestry Dept monitoring report 2024 - Q3.</t>
        </is>
      </c>
    </row>
    <row r="8" ht="20" customHeight="1">
      <c r="A8" s="2" t="n">
        <v>7</v>
      </c>
      <c r="B8" s="3" t="inlineStr">
        <is>
          <t>Forests</t>
        </is>
      </c>
      <c r="C8" s="3" t="inlineStr">
        <is>
          <t>Gilgit-Baltistan</t>
        </is>
      </c>
      <c r="D8" s="3" t="inlineStr">
        <is>
          <t>Himalayan Biodiversity &amp; Watershed Mgt - Gilgit - Baltistan</t>
        </is>
      </c>
      <c r="E8" s="3" t="inlineStr">
        <is>
          <t>A. AFFORESTATION, REFORESTATION AND REVEGETATION</t>
        </is>
      </c>
      <c r="F8" s="3" t="inlineStr">
        <is>
          <t>A-2</t>
        </is>
      </c>
      <c r="G8" s="3" t="inlineStr">
        <is>
          <t>Assisted Natural Regeneration</t>
        </is>
      </c>
      <c r="H8" s="3" t="inlineStr">
        <is>
          <t>Restoring forests by protecting and managing natural regeneration, supplemented by limited seed sowing or enrichment planting.</t>
        </is>
      </c>
      <c r="I8" s="4" t="n">
        <v>2025</v>
      </c>
      <c r="J8" s="5" t="n">
        <v>24700</v>
      </c>
      <c r="K8" s="6" t="n">
        <v>52.5</v>
      </c>
      <c r="L8" s="7" t="n"/>
      <c r="M8" s="3" t="inlineStr">
        <is>
          <t>ANR stems estimated via line - transect sampling (n=120 plots); Source: GB Forestry Dept monitoring report 2024 - Q3.</t>
        </is>
      </c>
    </row>
    <row r="9" ht="20" customHeight="1">
      <c r="A9" s="8" t="n">
        <v>8</v>
      </c>
      <c r="B9" s="9" t="inlineStr">
        <is>
          <t>Forests</t>
        </is>
      </c>
      <c r="C9" s="9" t="inlineStr">
        <is>
          <t>Gilgit-Baltistan</t>
        </is>
      </c>
      <c r="D9" s="9" t="inlineStr">
        <is>
          <t>Himalayan Biodiversity &amp; Watershed Mgt - Gilgit - Baltistan</t>
        </is>
      </c>
      <c r="E9" s="9" t="inlineStr">
        <is>
          <t>A. AFFORESTATION, REFORESTATION AND REVEGETATION</t>
        </is>
      </c>
      <c r="F9" s="9" t="inlineStr">
        <is>
          <t>A-2</t>
        </is>
      </c>
      <c r="G9" s="9" t="inlineStr">
        <is>
          <t>Assisted Natural Regeneration</t>
        </is>
      </c>
      <c r="H9" s="9" t="inlineStr">
        <is>
          <t>Restoring forests by protecting and managing natural regeneration, supplemented by limited seed sowing or enrichment planting.</t>
        </is>
      </c>
      <c r="I9" s="10" t="n">
        <v>2026</v>
      </c>
      <c r="J9" s="11" t="n">
        <v>31000</v>
      </c>
      <c r="K9" s="12" t="n">
        <v>68</v>
      </c>
      <c r="L9" s="13" t="n"/>
      <c r="M9" s="9" t="inlineStr">
        <is>
          <t>ANR stems estimated via line - transect sampling (n=120 plots); Source: GB Forestry Dept monitoring report 2024 - Q3.</t>
        </is>
      </c>
    </row>
    <row r="10" ht="20" customHeight="1">
      <c r="A10" s="2" t="n">
        <v>9</v>
      </c>
      <c r="B10" s="3" t="inlineStr">
        <is>
          <t>Forests</t>
        </is>
      </c>
      <c r="C10" s="3" t="inlineStr">
        <is>
          <t>Punjab</t>
        </is>
      </c>
      <c r="D10" s="3" t="inlineStr">
        <is>
          <t>Thal Desert Afforestation Project - Punjab</t>
        </is>
      </c>
      <c r="E10" s="3" t="inlineStr">
        <is>
          <t>A. AFFORESTATION, REFORESTATION AND REVEGETATION</t>
        </is>
      </c>
      <c r="F10" s="3" t="inlineStr">
        <is>
          <t>A-3</t>
        </is>
      </c>
      <c r="G10" s="3" t="inlineStr">
        <is>
          <t>Dry afforestation</t>
        </is>
      </c>
      <c r="H10" s="3" t="inlineStr">
        <is>
          <t>Establishing trees in dry areas through planting and/or sowing drought-tolerant species using soil- and water-conservation techniques.</t>
        </is>
      </c>
      <c r="I10" s="4" t="n">
        <v>2023</v>
      </c>
      <c r="J10" s="5" t="n">
        <v>8500</v>
      </c>
      <c r="K10" s="6" t="n">
        <v>42</v>
      </c>
      <c r="L10" s="7" t="n">
        <v>0.62</v>
      </c>
      <c r="M10" s="3" t="inlineStr">
        <is>
          <t>Drought - tolerant species: Prosopis cineraria, Acacia nilotica; drip irrigation applied. Plantation register available.</t>
        </is>
      </c>
    </row>
    <row r="11" ht="20" customHeight="1">
      <c r="A11" s="8" t="n">
        <v>10</v>
      </c>
      <c r="B11" s="9" t="inlineStr">
        <is>
          <t>Forests</t>
        </is>
      </c>
      <c r="C11" s="9" t="inlineStr">
        <is>
          <t>Punjab</t>
        </is>
      </c>
      <c r="D11" s="9" t="inlineStr">
        <is>
          <t>Thal Desert Afforestation Project - Punjab</t>
        </is>
      </c>
      <c r="E11" s="9" t="inlineStr">
        <is>
          <t>A. AFFORESTATION, REFORESTATION AND REVEGETATION</t>
        </is>
      </c>
      <c r="F11" s="9" t="inlineStr">
        <is>
          <t>A-3</t>
        </is>
      </c>
      <c r="G11" s="9" t="inlineStr">
        <is>
          <t>Dry afforestation</t>
        </is>
      </c>
      <c r="H11" s="9" t="inlineStr">
        <is>
          <t>Establishing trees in dry areas through planting and/or sowing drought-tolerant species using soil- and water-conservation techniques.</t>
        </is>
      </c>
      <c r="I11" s="10" t="n">
        <v>2024</v>
      </c>
      <c r="J11" s="11" t="n">
        <v>11200</v>
      </c>
      <c r="K11" s="12" t="n">
        <v>56</v>
      </c>
      <c r="L11" s="13" t="n">
        <v>0.67</v>
      </c>
      <c r="M11" s="9" t="inlineStr">
        <is>
          <t>Drought - tolerant species: Prosopis cineraria, Acacia nilotica; drip irrigation applied. Plantation register available.</t>
        </is>
      </c>
    </row>
    <row r="12" ht="20" customHeight="1">
      <c r="A12" s="2" t="n">
        <v>11</v>
      </c>
      <c r="B12" s="3" t="inlineStr">
        <is>
          <t>Forests</t>
        </is>
      </c>
      <c r="C12" s="3" t="inlineStr">
        <is>
          <t>Punjab</t>
        </is>
      </c>
      <c r="D12" s="3" t="inlineStr">
        <is>
          <t>Thal Desert Afforestation Project - Punjab</t>
        </is>
      </c>
      <c r="E12" s="3" t="inlineStr">
        <is>
          <t>A. AFFORESTATION, REFORESTATION AND REVEGETATION</t>
        </is>
      </c>
      <c r="F12" s="3" t="inlineStr">
        <is>
          <t>A-3</t>
        </is>
      </c>
      <c r="G12" s="3" t="inlineStr">
        <is>
          <t>Dry afforestation</t>
        </is>
      </c>
      <c r="H12" s="3" t="inlineStr">
        <is>
          <t>Establishing trees in dry areas through planting and/or sowing drought-tolerant species using soil- and water-conservation techniques.</t>
        </is>
      </c>
      <c r="I12" s="4" t="n">
        <v>2025</v>
      </c>
      <c r="J12" s="5" t="n">
        <v>13800</v>
      </c>
      <c r="K12" s="6" t="n">
        <v>70</v>
      </c>
      <c r="L12" s="7" t="n">
        <v>0.71</v>
      </c>
      <c r="M12" s="3" t="inlineStr">
        <is>
          <t>Drought - tolerant species: Prosopis cineraria, Acacia nilotica; drip irrigation applied. Plantation register available.</t>
        </is>
      </c>
    </row>
    <row r="13" ht="20" customHeight="1">
      <c r="A13" s="8" t="n">
        <v>12</v>
      </c>
      <c r="B13" s="9" t="inlineStr">
        <is>
          <t>Forests</t>
        </is>
      </c>
      <c r="C13" s="9" t="inlineStr">
        <is>
          <t>Punjab</t>
        </is>
      </c>
      <c r="D13" s="9" t="inlineStr">
        <is>
          <t>Thal Desert Afforestation Project - Punjab</t>
        </is>
      </c>
      <c r="E13" s="9" t="inlineStr">
        <is>
          <t>A. AFFORESTATION, REFORESTATION AND REVEGETATION</t>
        </is>
      </c>
      <c r="F13" s="9" t="inlineStr">
        <is>
          <t>A-3</t>
        </is>
      </c>
      <c r="G13" s="9" t="inlineStr">
        <is>
          <t>Dry afforestation</t>
        </is>
      </c>
      <c r="H13" s="9" t="inlineStr">
        <is>
          <t>Establishing trees in dry areas through planting and/or sowing drought-tolerant species using soil- and water-conservation techniques.</t>
        </is>
      </c>
      <c r="I13" s="10" t="n">
        <v>2026</v>
      </c>
      <c r="J13" s="11" t="n"/>
      <c r="K13" s="12" t="n"/>
      <c r="L13" s="13" t="n"/>
      <c r="M13" s="9" t="inlineStr">
        <is>
          <t>Drought - tolerant species: Prosopis cineraria, Acacia nilotica; drip irrigation applied. Plantation register available.</t>
        </is>
      </c>
    </row>
    <row r="14" ht="20" customHeight="1">
      <c r="A14" s="2" t="n">
        <v>13</v>
      </c>
      <c r="B14" s="3" t="inlineStr">
        <is>
          <t>Freshwater</t>
        </is>
      </c>
      <c r="C14" s="3" t="inlineStr">
        <is>
          <t>Sindh &amp; Balochistan</t>
        </is>
      </c>
      <c r="D14" s="3" t="inlineStr">
        <is>
          <t>Indus for All Programme - Sindh &amp; Balochistan</t>
        </is>
      </c>
      <c r="E14" s="3" t="inlineStr">
        <is>
          <t>B. RANGELAND AND GRASSLAND MANAGEMENT</t>
        </is>
      </c>
      <c r="F14" s="3" t="inlineStr">
        <is>
          <t>B-1</t>
        </is>
      </c>
      <c r="G14" s="3" t="inlineStr">
        <is>
          <t>Protection of rangelands/grasslands</t>
        </is>
      </c>
      <c r="H14" s="3" t="inlineStr">
        <is>
          <t>Protection through fencing, watchers, controlled grazing or community management arrangements.</t>
        </is>
      </c>
      <c r="I14" s="4" t="n">
        <v>2023</v>
      </c>
      <c r="J14" s="5" t="n"/>
      <c r="K14" s="6" t="n">
        <v>1250</v>
      </c>
      <c r="L14" s="7" t="n"/>
      <c r="M14" s="3" t="inlineStr">
        <is>
          <t>Community rangeland management committees; fencing of 85 km; Source: IFA annual progress report.</t>
        </is>
      </c>
    </row>
    <row r="15" ht="20" customHeight="1">
      <c r="A15" s="8" t="n">
        <v>14</v>
      </c>
      <c r="B15" s="9" t="inlineStr">
        <is>
          <t>Freshwater</t>
        </is>
      </c>
      <c r="C15" s="9" t="inlineStr">
        <is>
          <t>Sindh &amp; Balochistan</t>
        </is>
      </c>
      <c r="D15" s="9" t="inlineStr">
        <is>
          <t>Indus for All Programme - Sindh &amp; Balochistan</t>
        </is>
      </c>
      <c r="E15" s="9" t="inlineStr">
        <is>
          <t>B. RANGELAND AND GRASSLAND MANAGEMENT</t>
        </is>
      </c>
      <c r="F15" s="9" t="inlineStr">
        <is>
          <t>B-1</t>
        </is>
      </c>
      <c r="G15" s="9" t="inlineStr">
        <is>
          <t>Protection of rangelands/grasslands</t>
        </is>
      </c>
      <c r="H15" s="9" t="inlineStr">
        <is>
          <t>Protection through fencing, watchers, controlled grazing or community management arrangements.</t>
        </is>
      </c>
      <c r="I15" s="10" t="n">
        <v>2024</v>
      </c>
      <c r="J15" s="11" t="n"/>
      <c r="K15" s="12" t="n">
        <v>1800</v>
      </c>
      <c r="L15" s="13" t="n"/>
      <c r="M15" s="9" t="inlineStr">
        <is>
          <t>Community rangeland management committees; fencing of 85 km; Source: IFA annual progress report.</t>
        </is>
      </c>
    </row>
    <row r="16" ht="20" customHeight="1">
      <c r="A16" s="2" t="n">
        <v>15</v>
      </c>
      <c r="B16" s="3" t="inlineStr">
        <is>
          <t>Freshwater</t>
        </is>
      </c>
      <c r="C16" s="3" t="inlineStr">
        <is>
          <t>Sindh &amp; Balochistan</t>
        </is>
      </c>
      <c r="D16" s="3" t="inlineStr">
        <is>
          <t>Indus for All Programme - Sindh &amp; Balochistan</t>
        </is>
      </c>
      <c r="E16" s="3" t="inlineStr">
        <is>
          <t>B. RANGELAND AND GRASSLAND MANAGEMENT</t>
        </is>
      </c>
      <c r="F16" s="3" t="inlineStr">
        <is>
          <t>B-1</t>
        </is>
      </c>
      <c r="G16" s="3" t="inlineStr">
        <is>
          <t>Protection of rangelands/grasslands</t>
        </is>
      </c>
      <c r="H16" s="3" t="inlineStr">
        <is>
          <t>Protection through fencing, watchers, controlled grazing or community management arrangements.</t>
        </is>
      </c>
      <c r="I16" s="4" t="n">
        <v>2025</v>
      </c>
      <c r="J16" s="5" t="n"/>
      <c r="K16" s="6" t="n">
        <v>2100</v>
      </c>
      <c r="L16" s="7" t="n"/>
      <c r="M16" s="3" t="inlineStr">
        <is>
          <t>Community rangeland management committees; fencing of 85 km; Source: IFA annual progress report.</t>
        </is>
      </c>
    </row>
    <row r="17" ht="20" customHeight="1">
      <c r="A17" s="8" t="n">
        <v>16</v>
      </c>
      <c r="B17" s="9" t="inlineStr">
        <is>
          <t>Freshwater</t>
        </is>
      </c>
      <c r="C17" s="9" t="inlineStr">
        <is>
          <t>Sindh &amp; Balochistan</t>
        </is>
      </c>
      <c r="D17" s="9" t="inlineStr">
        <is>
          <t>Indus for All Programme - Sindh &amp; Balochistan</t>
        </is>
      </c>
      <c r="E17" s="9" t="inlineStr">
        <is>
          <t>B. RANGELAND AND GRASSLAND MANAGEMENT</t>
        </is>
      </c>
      <c r="F17" s="9" t="inlineStr">
        <is>
          <t>B-1</t>
        </is>
      </c>
      <c r="G17" s="9" t="inlineStr">
        <is>
          <t>Protection of rangelands/grasslands</t>
        </is>
      </c>
      <c r="H17" s="9" t="inlineStr">
        <is>
          <t>Protection through fencing, watchers, controlled grazing or community management arrangements.</t>
        </is>
      </c>
      <c r="I17" s="10" t="n">
        <v>2026</v>
      </c>
      <c r="J17" s="11" t="n"/>
      <c r="K17" s="12" t="n">
        <v>2400</v>
      </c>
      <c r="L17" s="13" t="n"/>
      <c r="M17" s="9" t="inlineStr">
        <is>
          <t>Community rangeland management committees; fencing of 85 km; Source: IFA annual progress report.</t>
        </is>
      </c>
    </row>
    <row r="18" ht="20" customHeight="1">
      <c r="A18" s="2" t="n">
        <v>17</v>
      </c>
      <c r="B18" s="3" t="inlineStr">
        <is>
          <t>Freshwater</t>
        </is>
      </c>
      <c r="C18" s="3" t="inlineStr">
        <is>
          <t>Sindh &amp; Balochistan</t>
        </is>
      </c>
      <c r="D18" s="3" t="inlineStr">
        <is>
          <t>Indus for All Programme - Sindh &amp; Balochistan</t>
        </is>
      </c>
      <c r="E18" s="3" t="inlineStr">
        <is>
          <t>B. RANGELAND AND GRASSLAND MANAGEMENT</t>
        </is>
      </c>
      <c r="F18" s="3" t="inlineStr">
        <is>
          <t>B-2</t>
        </is>
      </c>
      <c r="G18" s="3" t="inlineStr">
        <is>
          <t>Reseeding of native grasses</t>
        </is>
      </c>
      <c r="H18" s="3" t="inlineStr">
        <is>
          <t>Restoration of degraded rangelands by sowing suitable native grass species.</t>
        </is>
      </c>
      <c r="I18" s="4" t="n">
        <v>2023</v>
      </c>
      <c r="J18" s="5" t="n"/>
      <c r="K18" s="6" t="n">
        <v>320</v>
      </c>
      <c r="L18" s="7" t="n"/>
      <c r="M18" s="3" t="inlineStr">
        <is>
          <t>Native grass species: Chrysopogon aucheri, Cenchrus ciliaris; seed procurement records available.</t>
        </is>
      </c>
    </row>
    <row r="19" ht="20" customHeight="1">
      <c r="A19" s="8" t="n">
        <v>18</v>
      </c>
      <c r="B19" s="9" t="inlineStr">
        <is>
          <t>Freshwater</t>
        </is>
      </c>
      <c r="C19" s="9" t="inlineStr">
        <is>
          <t>Sindh &amp; Balochistan</t>
        </is>
      </c>
      <c r="D19" s="9" t="inlineStr">
        <is>
          <t>Indus for All Programme - Sindh &amp; Balochistan</t>
        </is>
      </c>
      <c r="E19" s="9" t="inlineStr">
        <is>
          <t>B. RANGELAND AND GRASSLAND MANAGEMENT</t>
        </is>
      </c>
      <c r="F19" s="9" t="inlineStr">
        <is>
          <t>B-2</t>
        </is>
      </c>
      <c r="G19" s="9" t="inlineStr">
        <is>
          <t>Reseeding of native grasses</t>
        </is>
      </c>
      <c r="H19" s="9" t="inlineStr">
        <is>
          <t>Restoration of degraded rangelands by sowing suitable native grass species.</t>
        </is>
      </c>
      <c r="I19" s="10" t="n">
        <v>2024</v>
      </c>
      <c r="J19" s="11" t="n">
        <v>15000</v>
      </c>
      <c r="K19" s="12" t="n">
        <v>480</v>
      </c>
      <c r="L19" s="13" t="n"/>
      <c r="M19" s="9" t="inlineStr">
        <is>
          <t>Native grass species: Chrysopogon aucheri, Cenchrus ciliaris; seed procurement records available.</t>
        </is>
      </c>
    </row>
    <row r="20" ht="20" customHeight="1">
      <c r="A20" s="2" t="n">
        <v>19</v>
      </c>
      <c r="B20" s="3" t="inlineStr">
        <is>
          <t>Freshwater</t>
        </is>
      </c>
      <c r="C20" s="3" t="inlineStr">
        <is>
          <t>Sindh &amp; Balochistan</t>
        </is>
      </c>
      <c r="D20" s="3" t="inlineStr">
        <is>
          <t>Indus for All Programme - Sindh &amp; Balochistan</t>
        </is>
      </c>
      <c r="E20" s="3" t="inlineStr">
        <is>
          <t>B. RANGELAND AND GRASSLAND MANAGEMENT</t>
        </is>
      </c>
      <c r="F20" s="3" t="inlineStr">
        <is>
          <t>B-2</t>
        </is>
      </c>
      <c r="G20" s="3" t="inlineStr">
        <is>
          <t>Reseeding of native grasses</t>
        </is>
      </c>
      <c r="H20" s="3" t="inlineStr">
        <is>
          <t>Restoration of degraded rangelands by sowing suitable native grass species.</t>
        </is>
      </c>
      <c r="I20" s="4" t="n">
        <v>2025</v>
      </c>
      <c r="J20" s="5" t="n">
        <v>22000</v>
      </c>
      <c r="K20" s="6" t="n">
        <v>620</v>
      </c>
      <c r="L20" s="7" t="n"/>
      <c r="M20" s="3" t="inlineStr">
        <is>
          <t>Native grass species: Chrysopogon aucheri, Cenchrus ciliaris; seed procurement records available.</t>
        </is>
      </c>
    </row>
    <row r="21" ht="20" customHeight="1">
      <c r="A21" s="8" t="n">
        <v>20</v>
      </c>
      <c r="B21" s="9" t="inlineStr">
        <is>
          <t>Freshwater</t>
        </is>
      </c>
      <c r="C21" s="9" t="inlineStr">
        <is>
          <t>Sindh &amp; Balochistan</t>
        </is>
      </c>
      <c r="D21" s="9" t="inlineStr">
        <is>
          <t>Indus for All Programme - Sindh &amp; Balochistan</t>
        </is>
      </c>
      <c r="E21" s="9" t="inlineStr">
        <is>
          <t>B. RANGELAND AND GRASSLAND MANAGEMENT</t>
        </is>
      </c>
      <c r="F21" s="9" t="inlineStr">
        <is>
          <t>B-2</t>
        </is>
      </c>
      <c r="G21" s="9" t="inlineStr">
        <is>
          <t>Reseeding of native grasses</t>
        </is>
      </c>
      <c r="H21" s="9" t="inlineStr">
        <is>
          <t>Restoration of degraded rangelands by sowing suitable native grass species.</t>
        </is>
      </c>
      <c r="I21" s="10" t="n">
        <v>2026</v>
      </c>
      <c r="J21" s="11" t="n"/>
      <c r="K21" s="12" t="n"/>
      <c r="L21" s="13" t="n"/>
      <c r="M21" s="9" t="inlineStr">
        <is>
          <t>Native grass species: Chrysopogon aucheri, Cenchrus ciliaris; seed procurement records available.</t>
        </is>
      </c>
    </row>
    <row r="22" ht="20" customHeight="1">
      <c r="A22" s="2" t="n">
        <v>21</v>
      </c>
      <c r="B22" s="3" t="inlineStr">
        <is>
          <t>Freshwater</t>
        </is>
      </c>
      <c r="C22" s="3" t="inlineStr">
        <is>
          <t>Balochistan</t>
        </is>
      </c>
      <c r="D22" s="3" t="inlineStr">
        <is>
          <t>Balochistan Rangelands Resilience Project</t>
        </is>
      </c>
      <c r="E22" s="3" t="inlineStr">
        <is>
          <t>B. RANGELAND AND GRASSLAND MANAGEMENT</t>
        </is>
      </c>
      <c r="F22" s="3" t="inlineStr">
        <is>
          <t>B-3</t>
        </is>
      </c>
      <c r="G22" s="3" t="inlineStr">
        <is>
          <t>Planting/sowing of palatable native trees and shrubs</t>
        </is>
      </c>
      <c r="H22" s="3" t="inlineStr">
        <is>
          <t>Establishing native fodder trees and shrubs to improve rangeland productivity and resilience.</t>
        </is>
      </c>
      <c r="I22" s="4" t="n">
        <v>2023</v>
      </c>
      <c r="J22" s="5" t="n">
        <v>6200</v>
      </c>
      <c r="K22" s="6" t="n">
        <v>95</v>
      </c>
      <c r="L22" s="7" t="n">
        <v>0.73</v>
      </c>
      <c r="M22" s="3" t="inlineStr">
        <is>
          <t>Species: Zizyphus nummularia, Haloxylon recurvum; Source: BRR project M&amp;E quarterly reports.</t>
        </is>
      </c>
    </row>
    <row r="23" ht="20" customHeight="1">
      <c r="A23" s="8" t="n">
        <v>22</v>
      </c>
      <c r="B23" s="9" t="inlineStr">
        <is>
          <t>Freshwater</t>
        </is>
      </c>
      <c r="C23" s="9" t="inlineStr">
        <is>
          <t>Balochistan</t>
        </is>
      </c>
      <c r="D23" s="9" t="inlineStr">
        <is>
          <t>Balochistan Rangelands Resilience Project</t>
        </is>
      </c>
      <c r="E23" s="9" t="inlineStr">
        <is>
          <t>B. RANGELAND AND GRASSLAND MANAGEMENT</t>
        </is>
      </c>
      <c r="F23" s="9" t="inlineStr">
        <is>
          <t>B-3</t>
        </is>
      </c>
      <c r="G23" s="9" t="inlineStr">
        <is>
          <t>Planting/sowing of palatable native trees and shrubs</t>
        </is>
      </c>
      <c r="H23" s="9" t="inlineStr">
        <is>
          <t>Establishing native fodder trees and shrubs to improve rangeland productivity and resilience.</t>
        </is>
      </c>
      <c r="I23" s="10" t="n">
        <v>2024</v>
      </c>
      <c r="J23" s="11" t="n">
        <v>8500</v>
      </c>
      <c r="K23" s="12" t="n">
        <v>140</v>
      </c>
      <c r="L23" s="13" t="n">
        <v>0.76</v>
      </c>
      <c r="M23" s="9" t="inlineStr">
        <is>
          <t>Species: Zizyphus nummularia, Haloxylon recurvum; Source: BRR project M&amp;E quarterly reports.</t>
        </is>
      </c>
    </row>
    <row r="24" ht="20" customHeight="1">
      <c r="A24" s="2" t="n">
        <v>23</v>
      </c>
      <c r="B24" s="3" t="inlineStr">
        <is>
          <t>Freshwater</t>
        </is>
      </c>
      <c r="C24" s="3" t="inlineStr">
        <is>
          <t>Balochistan</t>
        </is>
      </c>
      <c r="D24" s="3" t="inlineStr">
        <is>
          <t>Balochistan Rangelands Resilience Project</t>
        </is>
      </c>
      <c r="E24" s="3" t="inlineStr">
        <is>
          <t>B. RANGELAND AND GRASSLAND MANAGEMENT</t>
        </is>
      </c>
      <c r="F24" s="3" t="inlineStr">
        <is>
          <t>B-3</t>
        </is>
      </c>
      <c r="G24" s="3" t="inlineStr">
        <is>
          <t>Planting/sowing of palatable native trees and shrubs</t>
        </is>
      </c>
      <c r="H24" s="3" t="inlineStr">
        <is>
          <t>Establishing native fodder trees and shrubs to improve rangeland productivity and resilience.</t>
        </is>
      </c>
      <c r="I24" s="4" t="n">
        <v>2025</v>
      </c>
      <c r="J24" s="5" t="n">
        <v>10100</v>
      </c>
      <c r="K24" s="6" t="n">
        <v>170</v>
      </c>
      <c r="L24" s="7" t="n">
        <v>0.79</v>
      </c>
      <c r="M24" s="3" t="inlineStr">
        <is>
          <t>Species: Zizyphus nummularia, Haloxylon recurvum; Source: BRR project M&amp;E quarterly reports.</t>
        </is>
      </c>
    </row>
    <row r="25" ht="20" customHeight="1">
      <c r="A25" s="8" t="n">
        <v>24</v>
      </c>
      <c r="B25" s="9" t="inlineStr">
        <is>
          <t>Freshwater</t>
        </is>
      </c>
      <c r="C25" s="9" t="inlineStr">
        <is>
          <t>Balochistan</t>
        </is>
      </c>
      <c r="D25" s="9" t="inlineStr">
        <is>
          <t>Balochistan Rangelands Resilience Project</t>
        </is>
      </c>
      <c r="E25" s="9" t="inlineStr">
        <is>
          <t>B. RANGELAND AND GRASSLAND MANAGEMENT</t>
        </is>
      </c>
      <c r="F25" s="9" t="inlineStr">
        <is>
          <t>B-3</t>
        </is>
      </c>
      <c r="G25" s="9" t="inlineStr">
        <is>
          <t>Planting/sowing of palatable native trees and shrubs</t>
        </is>
      </c>
      <c r="H25" s="9" t="inlineStr">
        <is>
          <t>Establishing native fodder trees and shrubs to improve rangeland productivity and resilience.</t>
        </is>
      </c>
      <c r="I25" s="10" t="n">
        <v>2026</v>
      </c>
      <c r="J25" s="11" t="n">
        <v>12000</v>
      </c>
      <c r="K25" s="12" t="n">
        <v>200</v>
      </c>
      <c r="L25" s="13" t="n">
        <v>0.8100000000000001</v>
      </c>
      <c r="M25" s="9" t="inlineStr">
        <is>
          <t>Species: Zizyphus nummularia, Haloxylon recurvum; Source: BRR project M&amp;E quarterly reports.</t>
        </is>
      </c>
    </row>
    <row r="26" ht="20" customHeight="1">
      <c r="A26" s="2" t="n">
        <v>25</v>
      </c>
      <c r="B26" s="3" t="inlineStr">
        <is>
          <t>Freshwater</t>
        </is>
      </c>
      <c r="C26" s="3" t="inlineStr">
        <is>
          <t>Khyber Pakhtunkhwa</t>
        </is>
      </c>
      <c r="D26" s="3" t="inlineStr">
        <is>
          <t>Upper Swat Watershed Restoration - KP</t>
        </is>
      </c>
      <c r="E26" s="3" t="inlineStr">
        <is>
          <t>C. WATERSHED MANAGEMENT AND FLOOD-CONTROL MEASURES</t>
        </is>
      </c>
      <c r="F26" s="3" t="inlineStr">
        <is>
          <t>C-1</t>
        </is>
      </c>
      <c r="G26" s="3" t="inlineStr">
        <is>
          <t>Slope stabilization through bioengineering</t>
        </is>
      </c>
      <c r="H26" s="3" t="inlineStr">
        <is>
          <t>Brushwood layering, vegetated/soft-gabion retaining structures and closely spaced planting.</t>
        </is>
      </c>
      <c r="I26" s="4" t="n">
        <v>2023</v>
      </c>
      <c r="J26" s="5" t="n"/>
      <c r="K26" s="6" t="n">
        <v>18</v>
      </c>
      <c r="L26" s="7" t="n"/>
      <c r="M26" s="3" t="inlineStr">
        <is>
          <t>Brushwood layering + vetiver grass strips along 14 km of erosion - prone slopes; Source: Civil works completion report 2024.</t>
        </is>
      </c>
    </row>
    <row r="27" ht="20" customHeight="1">
      <c r="A27" s="8" t="n">
        <v>26</v>
      </c>
      <c r="B27" s="9" t="inlineStr">
        <is>
          <t>Freshwater</t>
        </is>
      </c>
      <c r="C27" s="9" t="inlineStr">
        <is>
          <t>Khyber Pakhtunkhwa</t>
        </is>
      </c>
      <c r="D27" s="9" t="inlineStr">
        <is>
          <t>Upper Swat Watershed Restoration - KP</t>
        </is>
      </c>
      <c r="E27" s="9" t="inlineStr">
        <is>
          <t>C. WATERSHED MANAGEMENT AND FLOOD-CONTROL MEASURES</t>
        </is>
      </c>
      <c r="F27" s="9" t="inlineStr">
        <is>
          <t>C-1</t>
        </is>
      </c>
      <c r="G27" s="9" t="inlineStr">
        <is>
          <t>Slope stabilization through bioengineering</t>
        </is>
      </c>
      <c r="H27" s="9" t="inlineStr">
        <is>
          <t>Brushwood layering, vegetated/soft-gabion retaining structures and closely spaced planting.</t>
        </is>
      </c>
      <c r="I27" s="10" t="n">
        <v>2024</v>
      </c>
      <c r="J27" s="11" t="n"/>
      <c r="K27" s="12" t="n">
        <v>32</v>
      </c>
      <c r="L27" s="13" t="n"/>
      <c r="M27" s="9" t="inlineStr">
        <is>
          <t>Brushwood layering + vetiver grass strips along 14 km of erosion - prone slopes; Source: Civil works completion report 2024.</t>
        </is>
      </c>
    </row>
    <row r="28" ht="20" customHeight="1">
      <c r="A28" s="2" t="n">
        <v>27</v>
      </c>
      <c r="B28" s="3" t="inlineStr">
        <is>
          <t>Freshwater</t>
        </is>
      </c>
      <c r="C28" s="3" t="inlineStr">
        <is>
          <t>Khyber Pakhtunkhwa</t>
        </is>
      </c>
      <c r="D28" s="3" t="inlineStr">
        <is>
          <t>Upper Swat Watershed Restoration - KP</t>
        </is>
      </c>
      <c r="E28" s="3" t="inlineStr">
        <is>
          <t>C. WATERSHED MANAGEMENT AND FLOOD-CONTROL MEASURES</t>
        </is>
      </c>
      <c r="F28" s="3" t="inlineStr">
        <is>
          <t>C-1</t>
        </is>
      </c>
      <c r="G28" s="3" t="inlineStr">
        <is>
          <t>Slope stabilization through bioengineering</t>
        </is>
      </c>
      <c r="H28" s="3" t="inlineStr">
        <is>
          <t>Brushwood layering, vegetated/soft-gabion retaining structures and closely spaced planting.</t>
        </is>
      </c>
      <c r="I28" s="4" t="n">
        <v>2025</v>
      </c>
      <c r="J28" s="5" t="n"/>
      <c r="K28" s="6" t="n">
        <v>47</v>
      </c>
      <c r="L28" s="7" t="n"/>
      <c r="M28" s="3" t="inlineStr">
        <is>
          <t>Brushwood layering + vetiver grass strips along 14 km of erosion - prone slopes; Source: Civil works completion report 2024.</t>
        </is>
      </c>
    </row>
    <row r="29" ht="20" customHeight="1">
      <c r="A29" s="8" t="n">
        <v>28</v>
      </c>
      <c r="B29" s="9" t="inlineStr">
        <is>
          <t>Freshwater</t>
        </is>
      </c>
      <c r="C29" s="9" t="inlineStr">
        <is>
          <t>Khyber Pakhtunkhwa</t>
        </is>
      </c>
      <c r="D29" s="9" t="inlineStr">
        <is>
          <t>Upper Swat Watershed Restoration - KP</t>
        </is>
      </c>
      <c r="E29" s="9" t="inlineStr">
        <is>
          <t>C. WATERSHED MANAGEMENT AND FLOOD-CONTROL MEASURES</t>
        </is>
      </c>
      <c r="F29" s="9" t="inlineStr">
        <is>
          <t>C-1</t>
        </is>
      </c>
      <c r="G29" s="9" t="inlineStr">
        <is>
          <t>Slope stabilization through bioengineering</t>
        </is>
      </c>
      <c r="H29" s="9" t="inlineStr">
        <is>
          <t>Brushwood layering, vegetated/soft-gabion retaining structures and closely spaced planting.</t>
        </is>
      </c>
      <c r="I29" s="10" t="n">
        <v>2026</v>
      </c>
      <c r="J29" s="11" t="n"/>
      <c r="K29" s="12" t="n"/>
      <c r="L29" s="13" t="n"/>
      <c r="M29" s="9" t="inlineStr">
        <is>
          <t>Brushwood layering + vetiver grass strips along 14 km of erosion - prone slopes; Source: Civil works completion report 2024.</t>
        </is>
      </c>
    </row>
    <row r="30" ht="20" customHeight="1">
      <c r="A30" s="2" t="n">
        <v>29</v>
      </c>
      <c r="B30" s="3" t="inlineStr">
        <is>
          <t>Freshwater</t>
        </is>
      </c>
      <c r="C30" s="3" t="inlineStr">
        <is>
          <t>Khyber Pakhtunkhwa</t>
        </is>
      </c>
      <c r="D30" s="3" t="inlineStr">
        <is>
          <t>Upper Swat Watershed Restoration - KP</t>
        </is>
      </c>
      <c r="E30" s="3" t="inlineStr">
        <is>
          <t>C. WATERSHED MANAGEMENT AND FLOOD-CONTROL MEASURES</t>
        </is>
      </c>
      <c r="F30" s="3" t="inlineStr">
        <is>
          <t>C-2</t>
        </is>
      </c>
      <c r="G30" s="3" t="inlineStr">
        <is>
          <t>Vegetated flood-control structures</t>
        </is>
      </c>
      <c r="H30" s="3" t="inlineStr">
        <is>
          <t>Live spurs and brushwood check dams.</t>
        </is>
      </c>
      <c r="I30" s="4" t="n">
        <v>2023</v>
      </c>
      <c r="J30" s="5" t="n"/>
      <c r="K30" s="6" t="n">
        <v>8.5</v>
      </c>
      <c r="L30" s="7" t="n"/>
      <c r="M30" s="3" t="inlineStr">
        <is>
          <t>22 live brushwood spurs + 36 brushwood check dams installed; post - flood inspection June 2024 confirmed structural integrity.</t>
        </is>
      </c>
    </row>
    <row r="31" ht="20" customHeight="1">
      <c r="A31" s="8" t="n">
        <v>30</v>
      </c>
      <c r="B31" s="9" t="inlineStr">
        <is>
          <t>Freshwater</t>
        </is>
      </c>
      <c r="C31" s="9" t="inlineStr">
        <is>
          <t>Khyber Pakhtunkhwa</t>
        </is>
      </c>
      <c r="D31" s="9" t="inlineStr">
        <is>
          <t>Upper Swat Watershed Restoration - KP</t>
        </is>
      </c>
      <c r="E31" s="9" t="inlineStr">
        <is>
          <t>C. WATERSHED MANAGEMENT AND FLOOD-CONTROL MEASURES</t>
        </is>
      </c>
      <c r="F31" s="9" t="inlineStr">
        <is>
          <t>C-2</t>
        </is>
      </c>
      <c r="G31" s="9" t="inlineStr">
        <is>
          <t>Vegetated flood-control structures</t>
        </is>
      </c>
      <c r="H31" s="9" t="inlineStr">
        <is>
          <t>Live spurs and brushwood check dams.</t>
        </is>
      </c>
      <c r="I31" s="10" t="n">
        <v>2024</v>
      </c>
      <c r="J31" s="11" t="n"/>
      <c r="K31" s="12" t="n">
        <v>14</v>
      </c>
      <c r="L31" s="13" t="n"/>
      <c r="M31" s="9" t="inlineStr">
        <is>
          <t>22 live brushwood spurs + 36 brushwood check dams installed; post - flood inspection June 2024 confirmed structural integrity.</t>
        </is>
      </c>
    </row>
    <row r="32" ht="20" customHeight="1">
      <c r="A32" s="2" t="n">
        <v>31</v>
      </c>
      <c r="B32" s="3" t="inlineStr">
        <is>
          <t>Freshwater</t>
        </is>
      </c>
      <c r="C32" s="3" t="inlineStr">
        <is>
          <t>Khyber Pakhtunkhwa</t>
        </is>
      </c>
      <c r="D32" s="3" t="inlineStr">
        <is>
          <t>Upper Swat Watershed Restoration - KP</t>
        </is>
      </c>
      <c r="E32" s="3" t="inlineStr">
        <is>
          <t>C. WATERSHED MANAGEMENT AND FLOOD-CONTROL MEASURES</t>
        </is>
      </c>
      <c r="F32" s="3" t="inlineStr">
        <is>
          <t>C-2</t>
        </is>
      </c>
      <c r="G32" s="3" t="inlineStr">
        <is>
          <t>Vegetated flood-control structures</t>
        </is>
      </c>
      <c r="H32" s="3" t="inlineStr">
        <is>
          <t>Live spurs and brushwood check dams.</t>
        </is>
      </c>
      <c r="I32" s="4" t="n">
        <v>2025</v>
      </c>
      <c r="J32" s="5" t="n"/>
      <c r="K32" s="6" t="n">
        <v>19.5</v>
      </c>
      <c r="L32" s="7" t="n"/>
      <c r="M32" s="3" t="inlineStr">
        <is>
          <t>22 live brushwood spurs + 36 brushwood check dams installed; post - flood inspection June 2024 confirmed structural integrity.</t>
        </is>
      </c>
    </row>
    <row r="33" ht="20" customHeight="1">
      <c r="A33" s="8" t="n">
        <v>32</v>
      </c>
      <c r="B33" s="9" t="inlineStr">
        <is>
          <t>Freshwater</t>
        </is>
      </c>
      <c r="C33" s="9" t="inlineStr">
        <is>
          <t>Khyber Pakhtunkhwa</t>
        </is>
      </c>
      <c r="D33" s="9" t="inlineStr">
        <is>
          <t>Upper Swat Watershed Restoration - KP</t>
        </is>
      </c>
      <c r="E33" s="9" t="inlineStr">
        <is>
          <t>C. WATERSHED MANAGEMENT AND FLOOD-CONTROL MEASURES</t>
        </is>
      </c>
      <c r="F33" s="9" t="inlineStr">
        <is>
          <t>C-2</t>
        </is>
      </c>
      <c r="G33" s="9" t="inlineStr">
        <is>
          <t>Vegetated flood-control structures</t>
        </is>
      </c>
      <c r="H33" s="9" t="inlineStr">
        <is>
          <t>Live spurs and brushwood check dams.</t>
        </is>
      </c>
      <c r="I33" s="10" t="n">
        <v>2026</v>
      </c>
      <c r="J33" s="11" t="n"/>
      <c r="K33" s="12" t="n"/>
      <c r="L33" s="13" t="n"/>
      <c r="M33" s="9" t="inlineStr">
        <is>
          <t>22 live brushwood spurs + 36 brushwood check dams installed; post - flood inspection June 2024 confirmed structural integrity.</t>
        </is>
      </c>
    </row>
    <row r="34" ht="20" customHeight="1">
      <c r="A34" s="2" t="n">
        <v>33</v>
      </c>
      <c r="B34" s="3" t="inlineStr">
        <is>
          <t>Freshwater</t>
        </is>
      </c>
      <c r="C34" s="3" t="inlineStr">
        <is>
          <t>Khyber Pakhtunkhwa</t>
        </is>
      </c>
      <c r="D34" s="3" t="inlineStr">
        <is>
          <t>Chitral Integrated Flood Risk Management</t>
        </is>
      </c>
      <c r="E34" s="3" t="inlineStr">
        <is>
          <t>C. WATERSHED MANAGEMENT AND FLOOD-CONTROL MEASURES</t>
        </is>
      </c>
      <c r="F34" s="3" t="inlineStr">
        <is>
          <t>C-3</t>
        </is>
      </c>
      <c r="G34" s="3" t="inlineStr">
        <is>
          <t>Combined engineering and vegetative measures</t>
        </is>
      </c>
      <c r="H34" s="3" t="inlineStr">
        <is>
          <t>Vegetated loose-stone spurs for flood control and slope stabilization.</t>
        </is>
      </c>
      <c r="I34" s="4" t="n">
        <v>2023</v>
      </c>
      <c r="J34" s="5" t="n"/>
      <c r="K34" s="6" t="n">
        <v>5.2</v>
      </c>
      <c r="L34" s="7" t="n"/>
      <c r="M34" s="3" t="inlineStr">
        <is>
          <t>Vegetated loose - stone spurs combined with willow stakes; Source: CIFRM Year - 2 progress report.</t>
        </is>
      </c>
    </row>
    <row r="35" ht="20" customHeight="1">
      <c r="A35" s="8" t="n">
        <v>34</v>
      </c>
      <c r="B35" s="9" t="inlineStr">
        <is>
          <t>Freshwater</t>
        </is>
      </c>
      <c r="C35" s="9" t="inlineStr">
        <is>
          <t>Khyber Pakhtunkhwa</t>
        </is>
      </c>
      <c r="D35" s="9" t="inlineStr">
        <is>
          <t>Chitral Integrated Flood Risk Management</t>
        </is>
      </c>
      <c r="E35" s="9" t="inlineStr">
        <is>
          <t>C. WATERSHED MANAGEMENT AND FLOOD-CONTROL MEASURES</t>
        </is>
      </c>
      <c r="F35" s="9" t="inlineStr">
        <is>
          <t>C-3</t>
        </is>
      </c>
      <c r="G35" s="9" t="inlineStr">
        <is>
          <t>Combined engineering and vegetative measures</t>
        </is>
      </c>
      <c r="H35" s="9" t="inlineStr">
        <is>
          <t>Vegetated loose-stone spurs for flood control and slope stabilization.</t>
        </is>
      </c>
      <c r="I35" s="10" t="n">
        <v>2024</v>
      </c>
      <c r="J35" s="11" t="n"/>
      <c r="K35" s="12" t="n">
        <v>9.800000000000001</v>
      </c>
      <c r="L35" s="13" t="n"/>
      <c r="M35" s="9" t="inlineStr">
        <is>
          <t>Vegetated loose - stone spurs combined with willow stakes; Source: CIFRM Year - 2 progress report.</t>
        </is>
      </c>
    </row>
    <row r="36" ht="20" customHeight="1">
      <c r="A36" s="2" t="n">
        <v>35</v>
      </c>
      <c r="B36" s="3" t="inlineStr">
        <is>
          <t>Freshwater</t>
        </is>
      </c>
      <c r="C36" s="3" t="inlineStr">
        <is>
          <t>Khyber Pakhtunkhwa</t>
        </is>
      </c>
      <c r="D36" s="3" t="inlineStr">
        <is>
          <t>Chitral Integrated Flood Risk Management</t>
        </is>
      </c>
      <c r="E36" s="3" t="inlineStr">
        <is>
          <t>C. WATERSHED MANAGEMENT AND FLOOD-CONTROL MEASURES</t>
        </is>
      </c>
      <c r="F36" s="3" t="inlineStr">
        <is>
          <t>C-3</t>
        </is>
      </c>
      <c r="G36" s="3" t="inlineStr">
        <is>
          <t>Combined engineering and vegetative measures</t>
        </is>
      </c>
      <c r="H36" s="3" t="inlineStr">
        <is>
          <t>Vegetated loose-stone spurs for flood control and slope stabilization.</t>
        </is>
      </c>
      <c r="I36" s="4" t="n">
        <v>2025</v>
      </c>
      <c r="J36" s="5" t="n"/>
      <c r="K36" s="6" t="n">
        <v>14.3</v>
      </c>
      <c r="L36" s="7" t="n"/>
      <c r="M36" s="3" t="inlineStr">
        <is>
          <t>Vegetated loose - stone spurs combined with willow stakes; Source: CIFRM Year - 2 progress report.</t>
        </is>
      </c>
    </row>
    <row r="37" ht="20" customHeight="1">
      <c r="A37" s="8" t="n">
        <v>36</v>
      </c>
      <c r="B37" s="9" t="inlineStr">
        <is>
          <t>Freshwater</t>
        </is>
      </c>
      <c r="C37" s="9" t="inlineStr">
        <is>
          <t>Khyber Pakhtunkhwa</t>
        </is>
      </c>
      <c r="D37" s="9" t="inlineStr">
        <is>
          <t>Chitral Integrated Flood Risk Management</t>
        </is>
      </c>
      <c r="E37" s="9" t="inlineStr">
        <is>
          <t>C. WATERSHED MANAGEMENT AND FLOOD-CONTROL MEASURES</t>
        </is>
      </c>
      <c r="F37" s="9" t="inlineStr">
        <is>
          <t>C-3</t>
        </is>
      </c>
      <c r="G37" s="9" t="inlineStr">
        <is>
          <t>Combined engineering and vegetative measures</t>
        </is>
      </c>
      <c r="H37" s="9" t="inlineStr">
        <is>
          <t>Vegetated loose-stone spurs for flood control and slope stabilization.</t>
        </is>
      </c>
      <c r="I37" s="10" t="n">
        <v>2026</v>
      </c>
      <c r="J37" s="11" t="n"/>
      <c r="K37" s="12" t="n"/>
      <c r="L37" s="13" t="n"/>
      <c r="M37" s="9" t="inlineStr">
        <is>
          <t>Vegetated loose - stone spurs combined with willow stakes; Source: CIFRM Year - 2 progress report.</t>
        </is>
      </c>
    </row>
    <row r="38" ht="20" customHeight="1">
      <c r="A38" s="2" t="n">
        <v>37</v>
      </c>
      <c r="B38" s="3" t="inlineStr">
        <is>
          <t>Forests</t>
        </is>
      </c>
      <c r="C38" s="3" t="inlineStr">
        <is>
          <t>Khyber Pakhtunkhwa</t>
        </is>
      </c>
      <c r="D38" s="3" t="inlineStr">
        <is>
          <t>Billion Tree Tsunami - KP Phase II</t>
        </is>
      </c>
      <c r="E38" s="3" t="inlineStr">
        <is>
          <t>D. OTHER FORESTRY-RELATED MEASURES</t>
        </is>
      </c>
      <c r="F38" s="3" t="inlineStr">
        <is>
          <t>D-1</t>
        </is>
      </c>
      <c r="G38" s="3" t="inlineStr">
        <is>
          <t>Fruit plants under forestry-related projects</t>
        </is>
      </c>
      <c r="H38" s="3" t="inlineStr">
        <is>
          <t>Planting or distribution as part of forestry, rangeland or watershed-management interventions.</t>
        </is>
      </c>
      <c r="I38" s="4" t="n">
        <v>2023</v>
      </c>
      <c r="J38" s="5" t="n">
        <v>12500</v>
      </c>
      <c r="K38" s="6" t="n">
        <v>28</v>
      </c>
      <c r="L38" s="7" t="n">
        <v>0.8</v>
      </c>
      <c r="M38" s="3" t="inlineStr">
        <is>
          <t>Fruit species: mango, guava, apricot, pomegranate; distributed to 1,240 households; verified via beneficiary lists.</t>
        </is>
      </c>
    </row>
    <row r="39" ht="20" customHeight="1">
      <c r="A39" s="8" t="n">
        <v>38</v>
      </c>
      <c r="B39" s="9" t="inlineStr">
        <is>
          <t>Forests</t>
        </is>
      </c>
      <c r="C39" s="9" t="inlineStr">
        <is>
          <t>Khyber Pakhtunkhwa</t>
        </is>
      </c>
      <c r="D39" s="9" t="inlineStr">
        <is>
          <t>Billion Tree Tsunami - KP Phase II</t>
        </is>
      </c>
      <c r="E39" s="9" t="inlineStr">
        <is>
          <t>D. OTHER FORESTRY-RELATED MEASURES</t>
        </is>
      </c>
      <c r="F39" s="9" t="inlineStr">
        <is>
          <t>D-1</t>
        </is>
      </c>
      <c r="G39" s="9" t="inlineStr">
        <is>
          <t>Fruit plants under forestry-related projects</t>
        </is>
      </c>
      <c r="H39" s="9" t="inlineStr">
        <is>
          <t>Planting or distribution as part of forestry, rangeland or watershed-management interventions.</t>
        </is>
      </c>
      <c r="I39" s="10" t="n">
        <v>2024</v>
      </c>
      <c r="J39" s="11" t="n">
        <v>16800</v>
      </c>
      <c r="K39" s="12" t="n">
        <v>38.5</v>
      </c>
      <c r="L39" s="13" t="n">
        <v>0.83</v>
      </c>
      <c r="M39" s="9" t="inlineStr">
        <is>
          <t>Fruit species: mango, guava, apricot, pomegranate; distributed to 1,240 households; verified via beneficiary lists.</t>
        </is>
      </c>
    </row>
    <row r="40" ht="20" customHeight="1">
      <c r="A40" s="2" t="n">
        <v>39</v>
      </c>
      <c r="B40" s="3" t="inlineStr">
        <is>
          <t>Forests</t>
        </is>
      </c>
      <c r="C40" s="3" t="inlineStr">
        <is>
          <t>Khyber Pakhtunkhwa</t>
        </is>
      </c>
      <c r="D40" s="3" t="inlineStr">
        <is>
          <t>Billion Tree Tsunami - KP Phase II</t>
        </is>
      </c>
      <c r="E40" s="3" t="inlineStr">
        <is>
          <t>D. OTHER FORESTRY-RELATED MEASURES</t>
        </is>
      </c>
      <c r="F40" s="3" t="inlineStr">
        <is>
          <t>D-1</t>
        </is>
      </c>
      <c r="G40" s="3" t="inlineStr">
        <is>
          <t>Fruit plants under forestry-related projects</t>
        </is>
      </c>
      <c r="H40" s="3" t="inlineStr">
        <is>
          <t>Planting or distribution as part of forestry, rangeland or watershed-management interventions.</t>
        </is>
      </c>
      <c r="I40" s="4" t="n">
        <v>2025</v>
      </c>
      <c r="J40" s="5" t="n">
        <v>19200</v>
      </c>
      <c r="K40" s="6" t="n">
        <v>44</v>
      </c>
      <c r="L40" s="7" t="n">
        <v>0.85</v>
      </c>
      <c r="M40" s="3" t="inlineStr">
        <is>
          <t>Fruit species: mango, guava, apricot, pomegranate; distributed to 1,240 households; verified via beneficiary lists.</t>
        </is>
      </c>
    </row>
    <row r="41" ht="20" customHeight="1">
      <c r="A41" s="8" t="n">
        <v>40</v>
      </c>
      <c r="B41" s="9" t="inlineStr">
        <is>
          <t>Forests</t>
        </is>
      </c>
      <c r="C41" s="9" t="inlineStr">
        <is>
          <t>Khyber Pakhtunkhwa</t>
        </is>
      </c>
      <c r="D41" s="9" t="inlineStr">
        <is>
          <t>Billion Tree Tsunami - KP Phase II</t>
        </is>
      </c>
      <c r="E41" s="9" t="inlineStr">
        <is>
          <t>D. OTHER FORESTRY-RELATED MEASURES</t>
        </is>
      </c>
      <c r="F41" s="9" t="inlineStr">
        <is>
          <t>D-1</t>
        </is>
      </c>
      <c r="G41" s="9" t="inlineStr">
        <is>
          <t>Fruit plants under forestry-related projects</t>
        </is>
      </c>
      <c r="H41" s="9" t="inlineStr">
        <is>
          <t>Planting or distribution as part of forestry, rangeland or watershed-management interventions.</t>
        </is>
      </c>
      <c r="I41" s="10" t="n">
        <v>2026</v>
      </c>
      <c r="J41" s="11" t="n"/>
      <c r="K41" s="12" t="n"/>
      <c r="L41" s="13" t="n"/>
      <c r="M41" s="9" t="inlineStr">
        <is>
          <t>Fruit species: mango, guava, apricot, pomegranate; distributed to 1,240 households; verified via beneficiary lists.</t>
        </is>
      </c>
    </row>
    <row r="42" ht="20" customHeight="1">
      <c r="A42" s="2" t="n">
        <v>41</v>
      </c>
      <c r="B42" s="3" t="inlineStr">
        <is>
          <t>Forests</t>
        </is>
      </c>
      <c r="C42" s="3" t="inlineStr">
        <is>
          <t>Khyber Pakhtunkhwa</t>
        </is>
      </c>
      <c r="D42" s="3" t="inlineStr">
        <is>
          <t>Wild Olive Restoration - FATA/KP Merged Districts</t>
        </is>
      </c>
      <c r="E42" s="3" t="inlineStr">
        <is>
          <t>D. OTHER FORESTRY-RELATED MEASURES</t>
        </is>
      </c>
      <c r="F42" s="3" t="inlineStr">
        <is>
          <t>D-2</t>
        </is>
      </c>
      <c r="G42" s="3" t="inlineStr">
        <is>
          <t>Grafting of naturally occurring wild olive trees</t>
        </is>
      </c>
      <c r="H42" s="3" t="inlineStr">
        <is>
          <t>Grafting of Olea ferruginea with cultivated olive varieties.</t>
        </is>
      </c>
      <c r="I42" s="4" t="n">
        <v>2023</v>
      </c>
      <c r="J42" s="5" t="n">
        <v>3200</v>
      </c>
      <c r="K42" s="6" t="n"/>
      <c r="L42" s="7" t="n">
        <v>0.7</v>
      </c>
      <c r="M42" s="3" t="inlineStr">
        <is>
          <t>Grafting of Olea ferruginea with cultivated olive varieties; Source: FATA Secretariat extension records.</t>
        </is>
      </c>
    </row>
    <row r="43" ht="20" customHeight="1">
      <c r="A43" s="8" t="n">
        <v>42</v>
      </c>
      <c r="B43" s="9" t="inlineStr">
        <is>
          <t>Forests</t>
        </is>
      </c>
      <c r="C43" s="9" t="inlineStr">
        <is>
          <t>Khyber Pakhtunkhwa</t>
        </is>
      </c>
      <c r="D43" s="9" t="inlineStr">
        <is>
          <t>Wild Olive Restoration - FATA/KP Merged Districts</t>
        </is>
      </c>
      <c r="E43" s="9" t="inlineStr">
        <is>
          <t>D. OTHER FORESTRY-RELATED MEASURES</t>
        </is>
      </c>
      <c r="F43" s="9" t="inlineStr">
        <is>
          <t>D-2</t>
        </is>
      </c>
      <c r="G43" s="9" t="inlineStr">
        <is>
          <t>Grafting of naturally occurring wild olive trees</t>
        </is>
      </c>
      <c r="H43" s="9" t="inlineStr">
        <is>
          <t>Grafting of Olea ferruginea with cultivated olive varieties.</t>
        </is>
      </c>
      <c r="I43" s="10" t="n">
        <v>2024</v>
      </c>
      <c r="J43" s="11" t="n">
        <v>4800</v>
      </c>
      <c r="K43" s="12" t="n"/>
      <c r="L43" s="13" t="n">
        <v>0.74</v>
      </c>
      <c r="M43" s="9" t="inlineStr">
        <is>
          <t>Grafting of Olea ferruginea with cultivated olive varieties; Source: FATA Secretariat extension records.</t>
        </is>
      </c>
    </row>
    <row r="44" ht="20" customHeight="1">
      <c r="A44" s="2" t="n">
        <v>43</v>
      </c>
      <c r="B44" s="3" t="inlineStr">
        <is>
          <t>Forests</t>
        </is>
      </c>
      <c r="C44" s="3" t="inlineStr">
        <is>
          <t>Khyber Pakhtunkhwa</t>
        </is>
      </c>
      <c r="D44" s="3" t="inlineStr">
        <is>
          <t>Wild Olive Restoration - FATA/KP Merged Districts</t>
        </is>
      </c>
      <c r="E44" s="3" t="inlineStr">
        <is>
          <t>D. OTHER FORESTRY-RELATED MEASURES</t>
        </is>
      </c>
      <c r="F44" s="3" t="inlineStr">
        <is>
          <t>D-2</t>
        </is>
      </c>
      <c r="G44" s="3" t="inlineStr">
        <is>
          <t>Grafting of naturally occurring wild olive trees</t>
        </is>
      </c>
      <c r="H44" s="3" t="inlineStr">
        <is>
          <t>Grafting of Olea ferruginea with cultivated olive varieties.</t>
        </is>
      </c>
      <c r="I44" s="4" t="n">
        <v>2025</v>
      </c>
      <c r="J44" s="5" t="n">
        <v>5500</v>
      </c>
      <c r="K44" s="6" t="n"/>
      <c r="L44" s="7" t="n">
        <v>0.77</v>
      </c>
      <c r="M44" s="3" t="inlineStr">
        <is>
          <t>Grafting of Olea ferruginea with cultivated olive varieties; Source: FATA Secretariat extension records.</t>
        </is>
      </c>
    </row>
    <row r="45" ht="20" customHeight="1">
      <c r="A45" s="8" t="n">
        <v>44</v>
      </c>
      <c r="B45" s="9" t="inlineStr">
        <is>
          <t>Forests</t>
        </is>
      </c>
      <c r="C45" s="9" t="inlineStr">
        <is>
          <t>Khyber Pakhtunkhwa</t>
        </is>
      </c>
      <c r="D45" s="9" t="inlineStr">
        <is>
          <t>Wild Olive Restoration - FATA/KP Merged Districts</t>
        </is>
      </c>
      <c r="E45" s="9" t="inlineStr">
        <is>
          <t>D. OTHER FORESTRY-RELATED MEASURES</t>
        </is>
      </c>
      <c r="F45" s="9" t="inlineStr">
        <is>
          <t>D-2</t>
        </is>
      </c>
      <c r="G45" s="9" t="inlineStr">
        <is>
          <t>Grafting of naturally occurring wild olive trees</t>
        </is>
      </c>
      <c r="H45" s="9" t="inlineStr">
        <is>
          <t>Grafting of Olea ferruginea with cultivated olive varieties.</t>
        </is>
      </c>
      <c r="I45" s="10" t="n">
        <v>2026</v>
      </c>
      <c r="J45" s="11" t="n">
        <v>6100</v>
      </c>
      <c r="K45" s="12" t="n"/>
      <c r="L45" s="13" t="n">
        <v>0.79</v>
      </c>
      <c r="M45" s="9" t="inlineStr">
        <is>
          <t>Grafting of Olea ferruginea with cultivated olive varieties; Source: FATA Secretariat extension records.</t>
        </is>
      </c>
    </row>
    <row r="46" ht="20" customHeight="1">
      <c r="A46" s="2" t="n">
        <v>45</v>
      </c>
      <c r="B46" s="3" t="inlineStr">
        <is>
          <t>Forests</t>
        </is>
      </c>
      <c r="C46" s="3" t="inlineStr">
        <is>
          <t>Federal / National</t>
        </is>
      </c>
      <c r="D46" s="3" t="inlineStr">
        <is>
          <t>Green Pakistan Initiative - Federal</t>
        </is>
      </c>
      <c r="E46" s="3" t="inlineStr">
        <is>
          <t>D. OTHER FORESTRY-RELATED MEASURES</t>
        </is>
      </c>
      <c r="F46" s="3" t="inlineStr">
        <is>
          <t>D-3</t>
        </is>
      </c>
      <c r="G46" s="3" t="inlineStr">
        <is>
          <t>Distribution of seedlings</t>
        </is>
      </c>
      <c r="H46" s="3" t="inlineStr">
        <is>
          <t>Provision to farmers, schools, communities or institutions for subsequent planting.</t>
        </is>
      </c>
      <c r="I46" s="4" t="n">
        <v>2023</v>
      </c>
      <c r="J46" s="5" t="n">
        <v>85000</v>
      </c>
      <c r="K46" s="6" t="n"/>
      <c r="L46" s="7" t="n"/>
      <c r="M46" s="3" t="inlineStr">
        <is>
          <t>Seedlings distributed to farmers, schools and communities; distribution verified; planted survival not tracked separately.</t>
        </is>
      </c>
    </row>
    <row r="47" ht="20" customHeight="1">
      <c r="A47" s="8" t="n">
        <v>46</v>
      </c>
      <c r="B47" s="9" t="inlineStr">
        <is>
          <t>Forests</t>
        </is>
      </c>
      <c r="C47" s="9" t="inlineStr">
        <is>
          <t>Federal / National</t>
        </is>
      </c>
      <c r="D47" s="9" t="inlineStr">
        <is>
          <t>Green Pakistan Initiative - Federal</t>
        </is>
      </c>
      <c r="E47" s="9" t="inlineStr">
        <is>
          <t>D. OTHER FORESTRY-RELATED MEASURES</t>
        </is>
      </c>
      <c r="F47" s="9" t="inlineStr">
        <is>
          <t>D-3</t>
        </is>
      </c>
      <c r="G47" s="9" t="inlineStr">
        <is>
          <t>Distribution of seedlings</t>
        </is>
      </c>
      <c r="H47" s="9" t="inlineStr">
        <is>
          <t>Provision to farmers, schools, communities or institutions for subsequent planting.</t>
        </is>
      </c>
      <c r="I47" s="10" t="n">
        <v>2024</v>
      </c>
      <c r="J47" s="11" t="n">
        <v>120000</v>
      </c>
      <c r="K47" s="12" t="n"/>
      <c r="L47" s="13" t="n"/>
      <c r="M47" s="9" t="inlineStr">
        <is>
          <t>Seedlings distributed to farmers, schools and communities; distribution verified; planted survival not tracked separately.</t>
        </is>
      </c>
    </row>
    <row r="48" ht="20" customHeight="1">
      <c r="A48" s="2" t="n">
        <v>47</v>
      </c>
      <c r="B48" s="3" t="inlineStr">
        <is>
          <t>Forests</t>
        </is>
      </c>
      <c r="C48" s="3" t="inlineStr">
        <is>
          <t>Federal / National</t>
        </is>
      </c>
      <c r="D48" s="3" t="inlineStr">
        <is>
          <t>Green Pakistan Initiative - Federal</t>
        </is>
      </c>
      <c r="E48" s="3" t="inlineStr">
        <is>
          <t>D. OTHER FORESTRY-RELATED MEASURES</t>
        </is>
      </c>
      <c r="F48" s="3" t="inlineStr">
        <is>
          <t>D-3</t>
        </is>
      </c>
      <c r="G48" s="3" t="inlineStr">
        <is>
          <t>Distribution of seedlings</t>
        </is>
      </c>
      <c r="H48" s="3" t="inlineStr">
        <is>
          <t>Provision to farmers, schools, communities or institutions for subsequent planting.</t>
        </is>
      </c>
      <c r="I48" s="4" t="n">
        <v>2025</v>
      </c>
      <c r="J48" s="5" t="n">
        <v>145000</v>
      </c>
      <c r="K48" s="6" t="n"/>
      <c r="L48" s="7" t="n"/>
      <c r="M48" s="3" t="inlineStr">
        <is>
          <t>Seedlings distributed to farmers, schools and communities; distribution verified; planted survival not tracked separately.</t>
        </is>
      </c>
    </row>
    <row r="49" ht="20" customHeight="1">
      <c r="A49" s="8" t="n">
        <v>48</v>
      </c>
      <c r="B49" s="9" t="inlineStr">
        <is>
          <t>Forests</t>
        </is>
      </c>
      <c r="C49" s="9" t="inlineStr">
        <is>
          <t>Federal / National</t>
        </is>
      </c>
      <c r="D49" s="9" t="inlineStr">
        <is>
          <t>Green Pakistan Initiative - Federal</t>
        </is>
      </c>
      <c r="E49" s="9" t="inlineStr">
        <is>
          <t>D. OTHER FORESTRY-RELATED MEASURES</t>
        </is>
      </c>
      <c r="F49" s="9" t="inlineStr">
        <is>
          <t>D-3</t>
        </is>
      </c>
      <c r="G49" s="9" t="inlineStr">
        <is>
          <t>Distribution of seedlings</t>
        </is>
      </c>
      <c r="H49" s="9" t="inlineStr">
        <is>
          <t>Provision to farmers, schools, communities or institutions for subsequent planting.</t>
        </is>
      </c>
      <c r="I49" s="10" t="n">
        <v>2026</v>
      </c>
      <c r="J49" s="11" t="n"/>
      <c r="K49" s="12" t="n"/>
      <c r="L49" s="13" t="n"/>
      <c r="M49" s="9" t="inlineStr">
        <is>
          <t>Seedlings distributed to farmers, schools and communities; distribution verified; planted survival not tracked separately.</t>
        </is>
      </c>
    </row>
    <row r="50" ht="20" customHeight="1">
      <c r="A50" s="2" t="n">
        <v>49</v>
      </c>
      <c r="B50" s="3" t="inlineStr">
        <is>
          <t>Forests</t>
        </is>
      </c>
      <c r="C50" s="3" t="inlineStr">
        <is>
          <t>National</t>
        </is>
      </c>
      <c r="D50" s="3" t="inlineStr">
        <is>
          <t>National Environment Day &amp; Planting Campaigns</t>
        </is>
      </c>
      <c r="E50" s="3" t="inlineStr">
        <is>
          <t>D. OTHER FORESTRY-RELATED MEASURES</t>
        </is>
      </c>
      <c r="F50" s="3" t="inlineStr">
        <is>
          <t>D-4</t>
        </is>
      </c>
      <c r="G50" s="3" t="inlineStr">
        <is>
          <t>Campaign/event plantations</t>
        </is>
      </c>
      <c r="H50" s="3" t="inlineStr">
        <is>
          <t>Plants established during environmental campaigns, commemorative events or public plantation drives.</t>
        </is>
      </c>
      <c r="I50" s="4" t="n">
        <v>2023</v>
      </c>
      <c r="J50" s="5" t="n">
        <v>35000</v>
      </c>
      <c r="K50" s="6" t="n">
        <v>22</v>
      </c>
      <c r="L50" s="7" t="n"/>
      <c r="M50" s="3" t="inlineStr">
        <is>
          <t>Events: World Environment Day (June 5), Pakistan Day campaigns; geotagged photos archived; plantation register available.</t>
        </is>
      </c>
    </row>
    <row r="51" ht="20" customHeight="1">
      <c r="A51" s="8" t="n">
        <v>50</v>
      </c>
      <c r="B51" s="9" t="inlineStr">
        <is>
          <t>Forests</t>
        </is>
      </c>
      <c r="C51" s="9" t="inlineStr">
        <is>
          <t>National</t>
        </is>
      </c>
      <c r="D51" s="9" t="inlineStr">
        <is>
          <t>National Environment Day &amp; Planting Campaigns</t>
        </is>
      </c>
      <c r="E51" s="9" t="inlineStr">
        <is>
          <t>D. OTHER FORESTRY-RELATED MEASURES</t>
        </is>
      </c>
      <c r="F51" s="9" t="inlineStr">
        <is>
          <t>D-4</t>
        </is>
      </c>
      <c r="G51" s="9" t="inlineStr">
        <is>
          <t>Campaign/event plantations</t>
        </is>
      </c>
      <c r="H51" s="9" t="inlineStr">
        <is>
          <t>Plants established during environmental campaigns, commemorative events or public plantation drives.</t>
        </is>
      </c>
      <c r="I51" s="10" t="n">
        <v>2024</v>
      </c>
      <c r="J51" s="11" t="n">
        <v>48000</v>
      </c>
      <c r="K51" s="12" t="n">
        <v>30.5</v>
      </c>
      <c r="L51" s="13" t="n"/>
      <c r="M51" s="9" t="inlineStr">
        <is>
          <t>Events: World Environment Day (June 5), Pakistan Day campaigns; geotagged photos archived; plantation register available.</t>
        </is>
      </c>
    </row>
    <row r="52" ht="20" customHeight="1">
      <c r="A52" s="2" t="n">
        <v>51</v>
      </c>
      <c r="B52" s="3" t="inlineStr">
        <is>
          <t>Forests</t>
        </is>
      </c>
      <c r="C52" s="3" t="inlineStr">
        <is>
          <t>National</t>
        </is>
      </c>
      <c r="D52" s="3" t="inlineStr">
        <is>
          <t>National Environment Day &amp; Planting Campaigns</t>
        </is>
      </c>
      <c r="E52" s="3" t="inlineStr">
        <is>
          <t>D. OTHER FORESTRY-RELATED MEASURES</t>
        </is>
      </c>
      <c r="F52" s="3" t="inlineStr">
        <is>
          <t>D-4</t>
        </is>
      </c>
      <c r="G52" s="3" t="inlineStr">
        <is>
          <t>Campaign/event plantations</t>
        </is>
      </c>
      <c r="H52" s="3" t="inlineStr">
        <is>
          <t>Plants established during environmental campaigns, commemorative events or public plantation drives.</t>
        </is>
      </c>
      <c r="I52" s="4" t="n">
        <v>2025</v>
      </c>
      <c r="J52" s="5" t="n">
        <v>52000</v>
      </c>
      <c r="K52" s="6" t="n">
        <v>34</v>
      </c>
      <c r="L52" s="7" t="n"/>
      <c r="M52" s="3" t="inlineStr">
        <is>
          <t>Events: World Environment Day (June 5), Pakistan Day campaigns; geotagged photos archived; plantation register available.</t>
        </is>
      </c>
    </row>
    <row r="53" ht="20" customHeight="1">
      <c r="A53" s="8" t="n">
        <v>52</v>
      </c>
      <c r="B53" s="9" t="inlineStr">
        <is>
          <t>Forests</t>
        </is>
      </c>
      <c r="C53" s="9" t="inlineStr">
        <is>
          <t>National</t>
        </is>
      </c>
      <c r="D53" s="9" t="inlineStr">
        <is>
          <t>National Environment Day &amp; Planting Campaigns</t>
        </is>
      </c>
      <c r="E53" s="9" t="inlineStr">
        <is>
          <t>D. OTHER FORESTRY-RELATED MEASURES</t>
        </is>
      </c>
      <c r="F53" s="9" t="inlineStr">
        <is>
          <t>D-4</t>
        </is>
      </c>
      <c r="G53" s="9" t="inlineStr">
        <is>
          <t>Campaign/event plantations</t>
        </is>
      </c>
      <c r="H53" s="9" t="inlineStr">
        <is>
          <t>Plants established during environmental campaigns, commemorative events or public plantation drives.</t>
        </is>
      </c>
      <c r="I53" s="10" t="n">
        <v>2026</v>
      </c>
      <c r="J53" s="11" t="n"/>
      <c r="K53" s="12" t="n"/>
      <c r="L53" s="13" t="n"/>
      <c r="M53" s="9" t="inlineStr">
        <is>
          <t>Events: World Environment Day (June 5), Pakistan Day campaigns; geotagged photos archived; plantation register available.</t>
        </is>
      </c>
    </row>
    <row r="54" ht="20" customHeight="1">
      <c r="A54" s="2" t="n">
        <v>53</v>
      </c>
      <c r="B54" s="3" t="inlineStr">
        <is>
          <t>Forests</t>
        </is>
      </c>
      <c r="C54" s="3" t="inlineStr">
        <is>
          <t>Azad Jammu &amp; Kashmir</t>
        </is>
      </c>
      <c r="D54" s="3" t="inlineStr">
        <is>
          <t>Community Forest Protection - AJK</t>
        </is>
      </c>
      <c r="E54" s="3" t="inlineStr">
        <is>
          <t>D. OTHER FORESTRY-RELATED MEASURES</t>
        </is>
      </c>
      <c r="F54" s="3" t="inlineStr">
        <is>
          <t>D-5</t>
        </is>
      </c>
      <c r="G54" s="3" t="inlineStr">
        <is>
          <t>Forest/community protection</t>
        </is>
      </c>
      <c r="H54" s="3" t="inlineStr">
        <is>
          <t>Protection of existing forest or tree cover through agreements, watchers, fencing, fire management.</t>
        </is>
      </c>
      <c r="I54" s="4" t="n">
        <v>2023</v>
      </c>
      <c r="J54" s="5" t="n"/>
      <c r="K54" s="6" t="n">
        <v>3800</v>
      </c>
      <c r="L54" s="7" t="n"/>
      <c r="M54" s="3" t="inlineStr">
        <is>
          <t>Community Forest Mgt Agreements with 28 villages; 34 FTE watchers deployed; Source: AJK Forests Dept MoU signed 2023.</t>
        </is>
      </c>
    </row>
    <row r="55" ht="20" customHeight="1">
      <c r="A55" s="8" t="n">
        <v>54</v>
      </c>
      <c r="B55" s="9" t="inlineStr">
        <is>
          <t>Forests</t>
        </is>
      </c>
      <c r="C55" s="9" t="inlineStr">
        <is>
          <t>Azad Jammu &amp; Kashmir</t>
        </is>
      </c>
      <c r="D55" s="9" t="inlineStr">
        <is>
          <t>Community Forest Protection - AJK</t>
        </is>
      </c>
      <c r="E55" s="9" t="inlineStr">
        <is>
          <t>D. OTHER FORESTRY-RELATED MEASURES</t>
        </is>
      </c>
      <c r="F55" s="9" t="inlineStr">
        <is>
          <t>D-5</t>
        </is>
      </c>
      <c r="G55" s="9" t="inlineStr">
        <is>
          <t>Forest/community protection</t>
        </is>
      </c>
      <c r="H55" s="9" t="inlineStr">
        <is>
          <t>Protection of existing forest or tree cover through agreements, watchers, fencing, fire management.</t>
        </is>
      </c>
      <c r="I55" s="10" t="n">
        <v>2024</v>
      </c>
      <c r="J55" s="11" t="n"/>
      <c r="K55" s="12" t="n">
        <v>4200</v>
      </c>
      <c r="L55" s="13" t="n"/>
      <c r="M55" s="9" t="inlineStr">
        <is>
          <t>Community Forest Mgt Agreements with 28 villages; 34 FTE watchers deployed; Source: AJK Forests Dept MoU signed 2023.</t>
        </is>
      </c>
    </row>
    <row r="56" ht="20" customHeight="1">
      <c r="A56" s="2" t="n">
        <v>55</v>
      </c>
      <c r="B56" s="3" t="inlineStr">
        <is>
          <t>Forests</t>
        </is>
      </c>
      <c r="C56" s="3" t="inlineStr">
        <is>
          <t>Azad Jammu &amp; Kashmir</t>
        </is>
      </c>
      <c r="D56" s="3" t="inlineStr">
        <is>
          <t>Community Forest Protection - AJK</t>
        </is>
      </c>
      <c r="E56" s="3" t="inlineStr">
        <is>
          <t>D. OTHER FORESTRY-RELATED MEASURES</t>
        </is>
      </c>
      <c r="F56" s="3" t="inlineStr">
        <is>
          <t>D-5</t>
        </is>
      </c>
      <c r="G56" s="3" t="inlineStr">
        <is>
          <t>Forest/community protection</t>
        </is>
      </c>
      <c r="H56" s="3" t="inlineStr">
        <is>
          <t>Protection of existing forest or tree cover through agreements, watchers, fencing, fire management.</t>
        </is>
      </c>
      <c r="I56" s="4" t="n">
        <v>2025</v>
      </c>
      <c r="J56" s="5" t="n"/>
      <c r="K56" s="6" t="n">
        <v>4600</v>
      </c>
      <c r="L56" s="7" t="n"/>
      <c r="M56" s="3" t="inlineStr">
        <is>
          <t>Community Forest Mgt Agreements with 28 villages; 34 FTE watchers deployed; Source: AJK Forests Dept MoU signed 2023.</t>
        </is>
      </c>
    </row>
    <row r="57" ht="20" customHeight="1">
      <c r="A57" s="8" t="n">
        <v>56</v>
      </c>
      <c r="B57" s="9" t="inlineStr">
        <is>
          <t>Forests</t>
        </is>
      </c>
      <c r="C57" s="9" t="inlineStr">
        <is>
          <t>Azad Jammu &amp; Kashmir</t>
        </is>
      </c>
      <c r="D57" s="9" t="inlineStr">
        <is>
          <t>Community Forest Protection - AJK</t>
        </is>
      </c>
      <c r="E57" s="9" t="inlineStr">
        <is>
          <t>D. OTHER FORESTRY-RELATED MEASURES</t>
        </is>
      </c>
      <c r="F57" s="9" t="inlineStr">
        <is>
          <t>D-5</t>
        </is>
      </c>
      <c r="G57" s="9" t="inlineStr">
        <is>
          <t>Forest/community protection</t>
        </is>
      </c>
      <c r="H57" s="9" t="inlineStr">
        <is>
          <t>Protection of existing forest or tree cover through agreements, watchers, fencing, fire management.</t>
        </is>
      </c>
      <c r="I57" s="10" t="n">
        <v>2026</v>
      </c>
      <c r="J57" s="11" t="n"/>
      <c r="K57" s="12" t="n">
        <v>5100</v>
      </c>
      <c r="L57" s="13" t="n"/>
      <c r="M57" s="9" t="inlineStr">
        <is>
          <t>Community Forest Mgt Agreements with 28 villages; 34 FTE watchers deployed; Source: AJK Forests Dept MoU signed 2023.</t>
        </is>
      </c>
    </row>
    <row r="58" ht="20" customHeight="1">
      <c r="A58" s="2" t="n">
        <v>57</v>
      </c>
      <c r="B58" s="3" t="inlineStr">
        <is>
          <t>Food</t>
        </is>
      </c>
      <c r="C58" s="3" t="inlineStr">
        <is>
          <t>Balochistan</t>
        </is>
      </c>
      <c r="D58" s="3" t="inlineStr">
        <is>
          <t>Climate - Smart Agriculture &amp; Agroforestry - Balochistan</t>
        </is>
      </c>
      <c r="E58" s="3" t="inlineStr">
        <is>
          <t>D. OTHER FORESTRY-RELATED MEASURES</t>
        </is>
      </c>
      <c r="F58" s="3" t="inlineStr">
        <is>
          <t>D-6</t>
        </is>
      </c>
      <c r="G58" s="3" t="inlineStr">
        <is>
          <t>Agroforestry/farm forestry</t>
        </is>
      </c>
      <c r="H58" s="3" t="inlineStr">
        <is>
          <t>Integration of trees on farms or agricultural land.</t>
        </is>
      </c>
      <c r="I58" s="4" t="n">
        <v>2023</v>
      </c>
      <c r="J58" s="5" t="n">
        <v>18000</v>
      </c>
      <c r="K58" s="6" t="n">
        <v>85</v>
      </c>
      <c r="L58" s="7" t="n">
        <v>0.76</v>
      </c>
      <c r="M58" s="3" t="inlineStr">
        <is>
          <t>Poplar, Eucalyptus &amp; Moringa integrated on 850 farms; Source: CSA project farmer records &amp; field verification reports.</t>
        </is>
      </c>
    </row>
    <row r="59" ht="20" customHeight="1">
      <c r="A59" s="8" t="n">
        <v>58</v>
      </c>
      <c r="B59" s="9" t="inlineStr">
        <is>
          <t>Food</t>
        </is>
      </c>
      <c r="C59" s="9" t="inlineStr">
        <is>
          <t>Balochistan</t>
        </is>
      </c>
      <c r="D59" s="9" t="inlineStr">
        <is>
          <t>Climate - Smart Agriculture &amp; Agroforestry - Balochistan</t>
        </is>
      </c>
      <c r="E59" s="9" t="inlineStr">
        <is>
          <t>D. OTHER FORESTRY-RELATED MEASURES</t>
        </is>
      </c>
      <c r="F59" s="9" t="inlineStr">
        <is>
          <t>D-6</t>
        </is>
      </c>
      <c r="G59" s="9" t="inlineStr">
        <is>
          <t>Agroforestry/farm forestry</t>
        </is>
      </c>
      <c r="H59" s="9" t="inlineStr">
        <is>
          <t>Integration of trees on farms or agricultural land.</t>
        </is>
      </c>
      <c r="I59" s="10" t="n">
        <v>2024</v>
      </c>
      <c r="J59" s="11" t="n">
        <v>26000</v>
      </c>
      <c r="K59" s="12" t="n">
        <v>120</v>
      </c>
      <c r="L59" s="13" t="n">
        <v>0.79</v>
      </c>
      <c r="M59" s="9" t="inlineStr">
        <is>
          <t>Poplar, Eucalyptus &amp; Moringa integrated on 850 farms; Source: CSA project farmer records &amp; field verification reports.</t>
        </is>
      </c>
    </row>
    <row r="60" ht="20" customHeight="1">
      <c r="A60" s="2" t="n">
        <v>59</v>
      </c>
      <c r="B60" s="3" t="inlineStr">
        <is>
          <t>Food</t>
        </is>
      </c>
      <c r="C60" s="3" t="inlineStr">
        <is>
          <t>Balochistan</t>
        </is>
      </c>
      <c r="D60" s="3" t="inlineStr">
        <is>
          <t>Climate - Smart Agriculture &amp; Agroforestry - Balochistan</t>
        </is>
      </c>
      <c r="E60" s="3" t="inlineStr">
        <is>
          <t>D. OTHER FORESTRY-RELATED MEASURES</t>
        </is>
      </c>
      <c r="F60" s="3" t="inlineStr">
        <is>
          <t>D-6</t>
        </is>
      </c>
      <c r="G60" s="3" t="inlineStr">
        <is>
          <t>Agroforestry/farm forestry</t>
        </is>
      </c>
      <c r="H60" s="3" t="inlineStr">
        <is>
          <t>Integration of trees on farms or agricultural land.</t>
        </is>
      </c>
      <c r="I60" s="4" t="n">
        <v>2025</v>
      </c>
      <c r="J60" s="5" t="n">
        <v>34000</v>
      </c>
      <c r="K60" s="6" t="n">
        <v>158</v>
      </c>
      <c r="L60" s="7" t="n">
        <v>0.82</v>
      </c>
      <c r="M60" s="3" t="inlineStr">
        <is>
          <t>Poplar, Eucalyptus &amp; Moringa integrated on 850 farms; Source: CSA project farmer records &amp; field verification reports.</t>
        </is>
      </c>
    </row>
    <row r="61" ht="20" customHeight="1">
      <c r="A61" s="8" t="n">
        <v>60</v>
      </c>
      <c r="B61" s="9" t="inlineStr">
        <is>
          <t>Food</t>
        </is>
      </c>
      <c r="C61" s="9" t="inlineStr">
        <is>
          <t>Balochistan</t>
        </is>
      </c>
      <c r="D61" s="9" t="inlineStr">
        <is>
          <t>Climate - Smart Agriculture &amp; Agroforestry - Balochistan</t>
        </is>
      </c>
      <c r="E61" s="9" t="inlineStr">
        <is>
          <t>D. OTHER FORESTRY-RELATED MEASURES</t>
        </is>
      </c>
      <c r="F61" s="9" t="inlineStr">
        <is>
          <t>D-6</t>
        </is>
      </c>
      <c r="G61" s="9" t="inlineStr">
        <is>
          <t>Agroforestry/farm forestry</t>
        </is>
      </c>
      <c r="H61" s="9" t="inlineStr">
        <is>
          <t>Integration of trees on farms or agricultural land.</t>
        </is>
      </c>
      <c r="I61" s="10" t="n">
        <v>2026</v>
      </c>
      <c r="J61" s="11" t="n"/>
      <c r="K61" s="12" t="n"/>
      <c r="L61" s="13" t="n"/>
      <c r="M61" s="9" t="inlineStr">
        <is>
          <t>Poplar, Eucalyptus &amp; Moringa integrated on 850 farms; Source: CSA project farmer records &amp; field verification reports.</t>
        </is>
      </c>
    </row>
    <row r="62" ht="20" customHeight="1">
      <c r="A62" s="2" t="n">
        <v>61</v>
      </c>
      <c r="B62" s="3" t="inlineStr">
        <is>
          <t>Marine</t>
        </is>
      </c>
      <c r="C62" s="3" t="inlineStr">
        <is>
          <t>Sindh</t>
        </is>
      </c>
      <c r="D62" s="3" t="inlineStr">
        <is>
          <t>Indus Delta Mangrove Restoration - Sindh</t>
        </is>
      </c>
      <c r="E62" s="3" t="inlineStr">
        <is>
          <t>D. OTHER FORESTRY-RELATED MEASURES</t>
        </is>
      </c>
      <c r="F62" s="3" t="inlineStr">
        <is>
          <t>D-7</t>
        </is>
      </c>
      <c r="G62" s="3" t="inlineStr">
        <is>
          <t>Mangrove/coastal forest restoration</t>
        </is>
      </c>
      <c r="H62" s="3" t="inlineStr">
        <is>
          <t>Restoration and conservation of coastal mangrove ecosystems.</t>
        </is>
      </c>
      <c r="I62" s="4" t="n">
        <v>2023</v>
      </c>
      <c r="J62" s="5" t="n"/>
      <c r="K62" s="6" t="n">
        <v>520</v>
      </c>
      <c r="L62" s="7" t="n"/>
      <c r="M62" s="3" t="inlineStr">
        <is>
          <t>Species: Avicennia marina, Rhizophora mucronata; community - based protection; Source: IDMR satellite imagery analysis 2024.</t>
        </is>
      </c>
    </row>
    <row r="63" ht="20" customHeight="1">
      <c r="A63" s="8" t="n">
        <v>62</v>
      </c>
      <c r="B63" s="9" t="inlineStr">
        <is>
          <t>Marine</t>
        </is>
      </c>
      <c r="C63" s="9" t="inlineStr">
        <is>
          <t>Sindh</t>
        </is>
      </c>
      <c r="D63" s="9" t="inlineStr">
        <is>
          <t>Indus Delta Mangrove Restoration - Sindh</t>
        </is>
      </c>
      <c r="E63" s="9" t="inlineStr">
        <is>
          <t>D. OTHER FORESTRY-RELATED MEASURES</t>
        </is>
      </c>
      <c r="F63" s="9" t="inlineStr">
        <is>
          <t>D-7</t>
        </is>
      </c>
      <c r="G63" s="9" t="inlineStr">
        <is>
          <t>Mangrove/coastal forest restoration</t>
        </is>
      </c>
      <c r="H63" s="9" t="inlineStr">
        <is>
          <t>Restoration and conservation of coastal mangrove ecosystems.</t>
        </is>
      </c>
      <c r="I63" s="10" t="n">
        <v>2024</v>
      </c>
      <c r="J63" s="11" t="n"/>
      <c r="K63" s="12" t="n">
        <v>720</v>
      </c>
      <c r="L63" s="13" t="n"/>
      <c r="M63" s="9" t="inlineStr">
        <is>
          <t>Species: Avicennia marina, Rhizophora mucronata; community - based protection; Source: IDMR satellite imagery analysis 2024.</t>
        </is>
      </c>
    </row>
    <row r="64" ht="20" customHeight="1">
      <c r="A64" s="2" t="n">
        <v>63</v>
      </c>
      <c r="B64" s="3" t="inlineStr">
        <is>
          <t>Marine</t>
        </is>
      </c>
      <c r="C64" s="3" t="inlineStr">
        <is>
          <t>Sindh</t>
        </is>
      </c>
      <c r="D64" s="3" t="inlineStr">
        <is>
          <t>Indus Delta Mangrove Restoration - Sindh</t>
        </is>
      </c>
      <c r="E64" s="3" t="inlineStr">
        <is>
          <t>D. OTHER FORESTRY-RELATED MEASURES</t>
        </is>
      </c>
      <c r="F64" s="3" t="inlineStr">
        <is>
          <t>D-7</t>
        </is>
      </c>
      <c r="G64" s="3" t="inlineStr">
        <is>
          <t>Mangrove/coastal forest restoration</t>
        </is>
      </c>
      <c r="H64" s="3" t="inlineStr">
        <is>
          <t>Restoration and conservation of coastal mangrove ecosystems.</t>
        </is>
      </c>
      <c r="I64" s="4" t="n">
        <v>2025</v>
      </c>
      <c r="J64" s="5" t="n"/>
      <c r="K64" s="6" t="n">
        <v>960</v>
      </c>
      <c r="L64" s="7" t="n"/>
      <c r="M64" s="3" t="inlineStr">
        <is>
          <t>Species: Avicennia marina, Rhizophora mucronata; community - based protection; Source: IDMR satellite imagery analysis 2024.</t>
        </is>
      </c>
    </row>
    <row r="65" ht="20" customHeight="1">
      <c r="A65" s="8" t="n">
        <v>64</v>
      </c>
      <c r="B65" s="9" t="inlineStr">
        <is>
          <t>Marine</t>
        </is>
      </c>
      <c r="C65" s="9" t="inlineStr">
        <is>
          <t>Sindh</t>
        </is>
      </c>
      <c r="D65" s="9" t="inlineStr">
        <is>
          <t>Indus Delta Mangrove Restoration - Sindh</t>
        </is>
      </c>
      <c r="E65" s="9" t="inlineStr">
        <is>
          <t>D. OTHER FORESTRY-RELATED MEASURES</t>
        </is>
      </c>
      <c r="F65" s="9" t="inlineStr">
        <is>
          <t>D-7</t>
        </is>
      </c>
      <c r="G65" s="9" t="inlineStr">
        <is>
          <t>Mangrove/coastal forest restoration</t>
        </is>
      </c>
      <c r="H65" s="9" t="inlineStr">
        <is>
          <t>Restoration and conservation of coastal mangrove ecosystems.</t>
        </is>
      </c>
      <c r="I65" s="10" t="n">
        <v>2026</v>
      </c>
      <c r="J65" s="11" t="n"/>
      <c r="K65" s="12" t="n">
        <v>1200</v>
      </c>
      <c r="L65" s="13" t="n"/>
      <c r="M65" s="9" t="inlineStr">
        <is>
          <t>Species: Avicennia marina, Rhizophora mucronata; community - based protection; Source: IDMR satellite imagery analysis 2024.</t>
        </is>
      </c>
    </row>
    <row r="66" ht="20" customHeight="1">
      <c r="A66" s="2" t="n">
        <v>65</v>
      </c>
      <c r="B66" s="3" t="inlineStr">
        <is>
          <t>Forests</t>
        </is>
      </c>
      <c r="C66" s="3" t="inlineStr">
        <is>
          <t>Punjab</t>
        </is>
      </c>
      <c r="D66" s="3" t="inlineStr">
        <is>
          <t>Urban Greening &amp; School Plantation Initiative - Punjab</t>
        </is>
      </c>
      <c r="E66" s="3" t="inlineStr">
        <is>
          <t>D. OTHER FORESTRY-RELATED MEASURES</t>
        </is>
      </c>
      <c r="F66" s="3" t="inlineStr">
        <is>
          <t>D-8</t>
        </is>
      </c>
      <c r="G66" s="3" t="inlineStr">
        <is>
          <t>Urban Greening &amp; School Plantation</t>
        </is>
      </c>
      <c r="H66" s="3" t="inlineStr">
        <is>
          <t>Urban tree planting in metropolitan schools and community spaces.</t>
        </is>
      </c>
      <c r="I66" s="4" t="n">
        <v>2023</v>
      </c>
      <c r="J66" s="5" t="n">
        <v>28000</v>
      </c>
      <c r="K66" s="6" t="n">
        <v>14</v>
      </c>
      <c r="L66" s="7" t="n">
        <v>0.72</v>
      </c>
      <c r="M66" s="3" t="inlineStr">
        <is>
          <t>Urban tree planting in Lahore, Faisalabad, Multan; species: Ficus, Conocarpus, Dalbergia; Source: Punjab Env. Dept records.</t>
        </is>
      </c>
    </row>
    <row r="67" ht="20" customHeight="1">
      <c r="A67" s="8" t="n">
        <v>66</v>
      </c>
      <c r="B67" s="9" t="inlineStr">
        <is>
          <t>Forests</t>
        </is>
      </c>
      <c r="C67" s="9" t="inlineStr">
        <is>
          <t>Punjab</t>
        </is>
      </c>
      <c r="D67" s="9" t="inlineStr">
        <is>
          <t>Urban Greening &amp; School Plantation Initiative - Punjab</t>
        </is>
      </c>
      <c r="E67" s="9" t="inlineStr">
        <is>
          <t>D. OTHER FORESTRY-RELATED MEASURES</t>
        </is>
      </c>
      <c r="F67" s="9" t="inlineStr">
        <is>
          <t>D-8</t>
        </is>
      </c>
      <c r="G67" s="9" t="inlineStr">
        <is>
          <t>Urban Greening &amp; School Plantation</t>
        </is>
      </c>
      <c r="H67" s="9" t="inlineStr">
        <is>
          <t>Urban tree planting in metropolitan schools and community spaces.</t>
        </is>
      </c>
      <c r="I67" s="10" t="n">
        <v>2024</v>
      </c>
      <c r="J67" s="11" t="n">
        <v>36000</v>
      </c>
      <c r="K67" s="12" t="n">
        <v>18.5</v>
      </c>
      <c r="L67" s="13" t="n">
        <v>0.75</v>
      </c>
      <c r="M67" s="9" t="inlineStr">
        <is>
          <t>Urban tree planting in Lahore, Faisalabad, Multan; species: Ficus, Conocarpus, Dalbergia; Source: Punjab Env. Dept records.</t>
        </is>
      </c>
    </row>
    <row r="68" ht="20" customHeight="1">
      <c r="A68" s="2" t="n">
        <v>67</v>
      </c>
      <c r="B68" s="3" t="inlineStr">
        <is>
          <t>Forests</t>
        </is>
      </c>
      <c r="C68" s="3" t="inlineStr">
        <is>
          <t>Punjab</t>
        </is>
      </c>
      <c r="D68" s="3" t="inlineStr">
        <is>
          <t>Urban Greening &amp; School Plantation Initiative - Punjab</t>
        </is>
      </c>
      <c r="E68" s="3" t="inlineStr">
        <is>
          <t>D. OTHER FORESTRY-RELATED MEASURES</t>
        </is>
      </c>
      <c r="F68" s="3" t="inlineStr">
        <is>
          <t>D-8</t>
        </is>
      </c>
      <c r="G68" s="3" t="inlineStr">
        <is>
          <t>Urban Greening &amp; School Plantation</t>
        </is>
      </c>
      <c r="H68" s="3" t="inlineStr">
        <is>
          <t>Urban tree planting in metropolitan schools and community spaces.</t>
        </is>
      </c>
      <c r="I68" s="4" t="n">
        <v>2025</v>
      </c>
      <c r="J68" s="5" t="n"/>
      <c r="K68" s="6" t="n"/>
      <c r="L68" s="7" t="n"/>
      <c r="M68" s="3" t="inlineStr">
        <is>
          <t>Urban tree planting in Lahore, Faisalabad, Multan; species: Ficus, Conocarpus, Dalbergia; Source: Punjab Env. Dept records.</t>
        </is>
      </c>
    </row>
    <row r="69" ht="20" customHeight="1">
      <c r="A69" s="8" t="n">
        <v>68</v>
      </c>
      <c r="B69" s="9" t="inlineStr">
        <is>
          <t>Forests</t>
        </is>
      </c>
      <c r="C69" s="9" t="inlineStr">
        <is>
          <t>Punjab</t>
        </is>
      </c>
      <c r="D69" s="9" t="inlineStr">
        <is>
          <t>Urban Greening &amp; School Plantation Initiative - Punjab</t>
        </is>
      </c>
      <c r="E69" s="9" t="inlineStr">
        <is>
          <t>D. OTHER FORESTRY-RELATED MEASURES</t>
        </is>
      </c>
      <c r="F69" s="9" t="inlineStr">
        <is>
          <t>D-8</t>
        </is>
      </c>
      <c r="G69" s="9" t="inlineStr">
        <is>
          <t>Urban Greening &amp; School Plantation</t>
        </is>
      </c>
      <c r="H69" s="9" t="inlineStr">
        <is>
          <t>Urban tree planting in metropolitan schools and community spaces.</t>
        </is>
      </c>
      <c r="I69" s="10" t="n">
        <v>2026</v>
      </c>
      <c r="J69" s="11" t="n"/>
      <c r="K69" s="12" t="n"/>
      <c r="L69" s="13" t="n"/>
      <c r="M69" s="9" t="inlineStr">
        <is>
          <t>Urban tree planting in Lahore, Faisalabad, Multan; species: Ficus, Conocarpus, Dalbergia; Source: Punjab Env. Dept records.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3" customWidth="1" min="2" max="2"/>
    <col width="42" customWidth="1" min="3" max="3"/>
    <col width="42" customWidth="1" min="4" max="4"/>
    <col width="20" customWidth="1" min="5" max="5"/>
    <col width="42" customWidth="1" min="6" max="6"/>
    <col width="42" customWidth="1" min="7" max="7"/>
    <col width="20" customWidth="1" min="8" max="8"/>
    <col width="15" customWidth="1" min="9" max="9"/>
    <col width="20" customWidth="1" min="10" max="10"/>
    <col width="20" customWidth="1" min="11" max="11"/>
    <col width="15" customWidth="1" min="12" max="12"/>
    <col width="20" customWidth="1" min="13" max="13"/>
    <col width="20" customWidth="1" min="14" max="14"/>
    <col width="15" customWidth="1" min="15" max="15"/>
    <col width="20" customWidth="1" min="16" max="16"/>
    <col width="20" customWidth="1" min="17" max="17"/>
    <col width="15" customWidth="1" min="18" max="18"/>
    <col width="20" customWidth="1" min="19" max="19"/>
    <col width="42" customWidth="1" min="20" max="20"/>
  </cols>
  <sheetData>
    <row r="1" ht="28" customHeight="1">
      <c r="A1" s="1" t="inlineStr">
        <is>
          <t>Practice</t>
        </is>
      </c>
      <c r="B1" s="1" t="inlineStr">
        <is>
          <t>Province_Region</t>
        </is>
      </c>
      <c r="C1" s="1" t="inlineStr">
        <is>
          <t>Project_Name</t>
        </is>
      </c>
      <c r="D1" s="1" t="inlineStr">
        <is>
          <t>Intervention_Category</t>
        </is>
      </c>
      <c r="E1" s="1" t="inlineStr">
        <is>
          <t>Intervention_Code</t>
        </is>
      </c>
      <c r="F1" s="1" t="inlineStr">
        <is>
          <t>Intervention_Name</t>
        </is>
      </c>
      <c r="G1" s="1" t="inlineStr">
        <is>
          <t>Intervention_Description</t>
        </is>
      </c>
      <c r="H1" s="1" t="inlineStr">
        <is>
          <t>2023_Plants_Count</t>
        </is>
      </c>
      <c r="I1" s="1" t="inlineStr">
        <is>
          <t>2023_Area_ha</t>
        </is>
      </c>
      <c r="J1" s="1" t="inlineStr">
        <is>
          <t>2023_Survival_pct</t>
        </is>
      </c>
      <c r="K1" s="1" t="inlineStr">
        <is>
          <t>2024_Plants_Count</t>
        </is>
      </c>
      <c r="L1" s="1" t="inlineStr">
        <is>
          <t>2024_Area_ha</t>
        </is>
      </c>
      <c r="M1" s="1" t="inlineStr">
        <is>
          <t>2024_Survival_pct</t>
        </is>
      </c>
      <c r="N1" s="1" t="inlineStr">
        <is>
          <t>2025_Plants_Count</t>
        </is>
      </c>
      <c r="O1" s="1" t="inlineStr">
        <is>
          <t>2025_Area_ha</t>
        </is>
      </c>
      <c r="P1" s="1" t="inlineStr">
        <is>
          <t>2025_Survival_pct</t>
        </is>
      </c>
      <c r="Q1" s="1" t="inlineStr">
        <is>
          <t>2026_Plants_Count</t>
        </is>
      </c>
      <c r="R1" s="1" t="inlineStr">
        <is>
          <t>2026_Area_ha</t>
        </is>
      </c>
      <c r="S1" s="1" t="inlineStr">
        <is>
          <t>2026_Survival_pct</t>
        </is>
      </c>
      <c r="T1" s="1" t="inlineStr">
        <is>
          <t>Remarks_Evidence</t>
        </is>
      </c>
    </row>
    <row r="2" ht="20" customHeight="1">
      <c r="A2" s="3" t="inlineStr">
        <is>
          <t>Forests</t>
        </is>
      </c>
      <c r="B2" s="3" t="inlineStr">
        <is>
          <t>Khyber Pakhtunkhwa</t>
        </is>
      </c>
      <c r="C2" s="3" t="inlineStr">
        <is>
          <t>Billion Tree Tsunami - KP Phase II</t>
        </is>
      </c>
      <c r="D2" s="3" t="inlineStr">
        <is>
          <t>A. AFFORESTATION, REFORESTATION AND REVEGETATION</t>
        </is>
      </c>
      <c r="E2" s="3" t="inlineStr">
        <is>
          <t>A-1</t>
        </is>
      </c>
      <c r="F2" s="3" t="inlineStr">
        <is>
          <t>Planting of seedlings</t>
        </is>
      </c>
      <c r="G2" s="3" t="inlineStr">
        <is>
          <t>Establishing trees by planting nursery-raised seedlings.</t>
        </is>
      </c>
      <c r="H2" s="5" t="n">
        <v>52000</v>
      </c>
      <c r="I2" s="6" t="n">
        <v>62</v>
      </c>
      <c r="J2" s="7" t="n">
        <v>0.78</v>
      </c>
      <c r="K2" s="5" t="n">
        <v>68500</v>
      </c>
      <c r="L2" s="6" t="n">
        <v>84.5</v>
      </c>
      <c r="M2" s="7" t="n">
        <v>0.82</v>
      </c>
      <c r="N2" s="5" t="n">
        <v>74200</v>
      </c>
      <c r="O2" s="6" t="n">
        <v>95</v>
      </c>
      <c r="P2" s="7" t="n">
        <v>0.85</v>
      </c>
      <c r="Q2" s="5" t="n"/>
      <c r="R2" s="6" t="n"/>
      <c r="S2" s="7" t="n"/>
      <c r="T2" s="3" t="inlineStr">
        <is>
          <t>Plantation records verified by KP Forest Dept; GPS - tagged plots. Annual monitoring report 2023 &amp; 2024.</t>
        </is>
      </c>
    </row>
    <row r="3" ht="20" customHeight="1">
      <c r="A3" s="9" t="inlineStr">
        <is>
          <t>Forests</t>
        </is>
      </c>
      <c r="B3" s="9" t="inlineStr">
        <is>
          <t>Gilgit-Baltistan</t>
        </is>
      </c>
      <c r="C3" s="9" t="inlineStr">
        <is>
          <t>Himalayan Biodiversity &amp; Watershed Mgt - Gilgit - Baltistan</t>
        </is>
      </c>
      <c r="D3" s="9" t="inlineStr">
        <is>
          <t>A. AFFORESTATION, REFORESTATION AND REVEGETATION</t>
        </is>
      </c>
      <c r="E3" s="9" t="inlineStr">
        <is>
          <t>A-2</t>
        </is>
      </c>
      <c r="F3" s="9" t="inlineStr">
        <is>
          <t>Assisted Natural Regeneration</t>
        </is>
      </c>
      <c r="G3" s="9" t="inlineStr">
        <is>
          <t>Restoring forests by protecting and managing natural regeneration, supplemented by limited seed sowing or enrichment planting.</t>
        </is>
      </c>
      <c r="H3" s="11" t="n"/>
      <c r="I3" s="12" t="n"/>
      <c r="J3" s="13" t="n"/>
      <c r="K3" s="11" t="n">
        <v>18300</v>
      </c>
      <c r="L3" s="12" t="n">
        <v>38</v>
      </c>
      <c r="M3" s="13" t="n"/>
      <c r="N3" s="11" t="n">
        <v>24700</v>
      </c>
      <c r="O3" s="12" t="n">
        <v>52.5</v>
      </c>
      <c r="P3" s="13" t="n"/>
      <c r="Q3" s="11" t="n">
        <v>31000</v>
      </c>
      <c r="R3" s="12" t="n">
        <v>68</v>
      </c>
      <c r="S3" s="13" t="n"/>
      <c r="T3" s="9" t="inlineStr">
        <is>
          <t>ANR stems estimated via line - transect sampling (n=120 plots); Source: GB Forestry Dept monitoring report 2024 - Q3.</t>
        </is>
      </c>
    </row>
    <row r="4" ht="20" customHeight="1">
      <c r="A4" s="3" t="inlineStr">
        <is>
          <t>Forests</t>
        </is>
      </c>
      <c r="B4" s="3" t="inlineStr">
        <is>
          <t>Punjab</t>
        </is>
      </c>
      <c r="C4" s="3" t="inlineStr">
        <is>
          <t>Thal Desert Afforestation Project - Punjab</t>
        </is>
      </c>
      <c r="D4" s="3" t="inlineStr">
        <is>
          <t>A. AFFORESTATION, REFORESTATION AND REVEGETATION</t>
        </is>
      </c>
      <c r="E4" s="3" t="inlineStr">
        <is>
          <t>A-3</t>
        </is>
      </c>
      <c r="F4" s="3" t="inlineStr">
        <is>
          <t>Dry afforestation</t>
        </is>
      </c>
      <c r="G4" s="3" t="inlineStr">
        <is>
          <t>Establishing trees in dry areas through planting and/or sowing drought-tolerant species using soil- and water-conservation techniques.</t>
        </is>
      </c>
      <c r="H4" s="5" t="n">
        <v>8500</v>
      </c>
      <c r="I4" s="6" t="n">
        <v>42</v>
      </c>
      <c r="J4" s="7" t="n">
        <v>0.62</v>
      </c>
      <c r="K4" s="5" t="n">
        <v>11200</v>
      </c>
      <c r="L4" s="6" t="n">
        <v>56</v>
      </c>
      <c r="M4" s="7" t="n">
        <v>0.67</v>
      </c>
      <c r="N4" s="5" t="n">
        <v>13800</v>
      </c>
      <c r="O4" s="6" t="n">
        <v>70</v>
      </c>
      <c r="P4" s="7" t="n">
        <v>0.71</v>
      </c>
      <c r="Q4" s="5" t="n"/>
      <c r="R4" s="6" t="n"/>
      <c r="S4" s="7" t="n"/>
      <c r="T4" s="3" t="inlineStr">
        <is>
          <t>Drought - tolerant species: Prosopis cineraria, Acacia nilotica; drip irrigation applied. Plantation register available.</t>
        </is>
      </c>
    </row>
    <row r="5" ht="20" customHeight="1">
      <c r="A5" s="9" t="inlineStr">
        <is>
          <t>Freshwater</t>
        </is>
      </c>
      <c r="B5" s="9" t="inlineStr">
        <is>
          <t>Sindh &amp; Balochistan</t>
        </is>
      </c>
      <c r="C5" s="9" t="inlineStr">
        <is>
          <t>Indus for All Programme - Sindh &amp; Balochistan</t>
        </is>
      </c>
      <c r="D5" s="9" t="inlineStr">
        <is>
          <t>B. RANGELAND AND GRASSLAND MANAGEMENT</t>
        </is>
      </c>
      <c r="E5" s="9" t="inlineStr">
        <is>
          <t>B-1</t>
        </is>
      </c>
      <c r="F5" s="9" t="inlineStr">
        <is>
          <t>Protection of rangelands/grasslands</t>
        </is>
      </c>
      <c r="G5" s="9" t="inlineStr">
        <is>
          <t>Protection through fencing, watchers, controlled grazing or community management arrangements.</t>
        </is>
      </c>
      <c r="H5" s="11" t="n"/>
      <c r="I5" s="12" t="n">
        <v>1250</v>
      </c>
      <c r="J5" s="13" t="n"/>
      <c r="K5" s="11" t="n"/>
      <c r="L5" s="12" t="n">
        <v>1800</v>
      </c>
      <c r="M5" s="13" t="n"/>
      <c r="N5" s="11" t="n"/>
      <c r="O5" s="12" t="n">
        <v>2100</v>
      </c>
      <c r="P5" s="13" t="n"/>
      <c r="Q5" s="11" t="n"/>
      <c r="R5" s="12" t="n">
        <v>2400</v>
      </c>
      <c r="S5" s="13" t="n"/>
      <c r="T5" s="9" t="inlineStr">
        <is>
          <t>Community rangeland management committees; fencing of 85 km; Source: IFA annual progress report.</t>
        </is>
      </c>
    </row>
    <row r="6" ht="20" customHeight="1">
      <c r="A6" s="3" t="inlineStr">
        <is>
          <t>Freshwater</t>
        </is>
      </c>
      <c r="B6" s="3" t="inlineStr">
        <is>
          <t>Sindh &amp; Balochistan</t>
        </is>
      </c>
      <c r="C6" s="3" t="inlineStr">
        <is>
          <t>Indus for All Programme - Sindh &amp; Balochistan</t>
        </is>
      </c>
      <c r="D6" s="3" t="inlineStr">
        <is>
          <t>B. RANGELAND AND GRASSLAND MANAGEMENT</t>
        </is>
      </c>
      <c r="E6" s="3" t="inlineStr">
        <is>
          <t>B-2</t>
        </is>
      </c>
      <c r="F6" s="3" t="inlineStr">
        <is>
          <t>Reseeding of native grasses</t>
        </is>
      </c>
      <c r="G6" s="3" t="inlineStr">
        <is>
          <t>Restoration of degraded rangelands by sowing suitable native grass species.</t>
        </is>
      </c>
      <c r="H6" s="5" t="n"/>
      <c r="I6" s="6" t="n">
        <v>320</v>
      </c>
      <c r="J6" s="7" t="n"/>
      <c r="K6" s="5" t="n">
        <v>15000</v>
      </c>
      <c r="L6" s="6" t="n">
        <v>480</v>
      </c>
      <c r="M6" s="7" t="n"/>
      <c r="N6" s="5" t="n">
        <v>22000</v>
      </c>
      <c r="O6" s="6" t="n">
        <v>620</v>
      </c>
      <c r="P6" s="7" t="n"/>
      <c r="Q6" s="5" t="n"/>
      <c r="R6" s="6" t="n"/>
      <c r="S6" s="7" t="n"/>
      <c r="T6" s="3" t="inlineStr">
        <is>
          <t>Native grass species: Chrysopogon aucheri, Cenchrus ciliaris; seed procurement records available.</t>
        </is>
      </c>
    </row>
    <row r="7" ht="20" customHeight="1">
      <c r="A7" s="9" t="inlineStr">
        <is>
          <t>Freshwater</t>
        </is>
      </c>
      <c r="B7" s="9" t="inlineStr">
        <is>
          <t>Balochistan</t>
        </is>
      </c>
      <c r="C7" s="9" t="inlineStr">
        <is>
          <t>Balochistan Rangelands Resilience Project</t>
        </is>
      </c>
      <c r="D7" s="9" t="inlineStr">
        <is>
          <t>B. RANGELAND AND GRASSLAND MANAGEMENT</t>
        </is>
      </c>
      <c r="E7" s="9" t="inlineStr">
        <is>
          <t>B-3</t>
        </is>
      </c>
      <c r="F7" s="9" t="inlineStr">
        <is>
          <t>Planting/sowing of palatable native trees and shrubs</t>
        </is>
      </c>
      <c r="G7" s="9" t="inlineStr">
        <is>
          <t>Establishing native fodder trees and shrubs to improve rangeland productivity and resilience.</t>
        </is>
      </c>
      <c r="H7" s="11" t="n">
        <v>6200</v>
      </c>
      <c r="I7" s="12" t="n">
        <v>95</v>
      </c>
      <c r="J7" s="13" t="n">
        <v>0.73</v>
      </c>
      <c r="K7" s="11" t="n">
        <v>8500</v>
      </c>
      <c r="L7" s="12" t="n">
        <v>140</v>
      </c>
      <c r="M7" s="13" t="n">
        <v>0.76</v>
      </c>
      <c r="N7" s="11" t="n">
        <v>10100</v>
      </c>
      <c r="O7" s="12" t="n">
        <v>170</v>
      </c>
      <c r="P7" s="13" t="n">
        <v>0.79</v>
      </c>
      <c r="Q7" s="11" t="n">
        <v>12000</v>
      </c>
      <c r="R7" s="12" t="n">
        <v>200</v>
      </c>
      <c r="S7" s="13" t="n">
        <v>0.8100000000000001</v>
      </c>
      <c r="T7" s="9" t="inlineStr">
        <is>
          <t>Species: Zizyphus nummularia, Haloxylon recurvum; Source: BRR project M&amp;E quarterly reports.</t>
        </is>
      </c>
    </row>
    <row r="8" ht="20" customHeight="1">
      <c r="A8" s="3" t="inlineStr">
        <is>
          <t>Freshwater</t>
        </is>
      </c>
      <c r="B8" s="3" t="inlineStr">
        <is>
          <t>Khyber Pakhtunkhwa</t>
        </is>
      </c>
      <c r="C8" s="3" t="inlineStr">
        <is>
          <t>Upper Swat Watershed Restoration - KP</t>
        </is>
      </c>
      <c r="D8" s="3" t="inlineStr">
        <is>
          <t>C. WATERSHED MANAGEMENT AND FLOOD-CONTROL MEASURES</t>
        </is>
      </c>
      <c r="E8" s="3" t="inlineStr">
        <is>
          <t>C-1</t>
        </is>
      </c>
      <c r="F8" s="3" t="inlineStr">
        <is>
          <t>Slope stabilization through bioengineering</t>
        </is>
      </c>
      <c r="G8" s="3" t="inlineStr">
        <is>
          <t>Brushwood layering, vegetated/soft-gabion retaining structures and closely spaced planting.</t>
        </is>
      </c>
      <c r="H8" s="5" t="n"/>
      <c r="I8" s="6" t="n">
        <v>18</v>
      </c>
      <c r="J8" s="7" t="n"/>
      <c r="K8" s="5" t="n"/>
      <c r="L8" s="6" t="n">
        <v>32</v>
      </c>
      <c r="M8" s="7" t="n"/>
      <c r="N8" s="5" t="n"/>
      <c r="O8" s="6" t="n">
        <v>47</v>
      </c>
      <c r="P8" s="7" t="n"/>
      <c r="Q8" s="5" t="n"/>
      <c r="R8" s="6" t="n"/>
      <c r="S8" s="7" t="n"/>
      <c r="T8" s="3" t="inlineStr">
        <is>
          <t>Brushwood layering + vetiver grass strips along 14 km of erosion - prone slopes; Source: Civil works completion report 2024.</t>
        </is>
      </c>
    </row>
    <row r="9" ht="20" customHeight="1">
      <c r="A9" s="9" t="inlineStr">
        <is>
          <t>Freshwater</t>
        </is>
      </c>
      <c r="B9" s="9" t="inlineStr">
        <is>
          <t>Khyber Pakhtunkhwa</t>
        </is>
      </c>
      <c r="C9" s="9" t="inlineStr">
        <is>
          <t>Upper Swat Watershed Restoration - KP</t>
        </is>
      </c>
      <c r="D9" s="9" t="inlineStr">
        <is>
          <t>C. WATERSHED MANAGEMENT AND FLOOD-CONTROL MEASURES</t>
        </is>
      </c>
      <c r="E9" s="9" t="inlineStr">
        <is>
          <t>C-2</t>
        </is>
      </c>
      <c r="F9" s="9" t="inlineStr">
        <is>
          <t>Vegetated flood-control structures</t>
        </is>
      </c>
      <c r="G9" s="9" t="inlineStr">
        <is>
          <t>Live spurs and brushwood check dams.</t>
        </is>
      </c>
      <c r="H9" s="11" t="n"/>
      <c r="I9" s="12" t="n">
        <v>8.5</v>
      </c>
      <c r="J9" s="13" t="n"/>
      <c r="K9" s="11" t="n"/>
      <c r="L9" s="12" t="n">
        <v>14</v>
      </c>
      <c r="M9" s="13" t="n"/>
      <c r="N9" s="11" t="n"/>
      <c r="O9" s="12" t="n">
        <v>19.5</v>
      </c>
      <c r="P9" s="13" t="n"/>
      <c r="Q9" s="11" t="n"/>
      <c r="R9" s="12" t="n"/>
      <c r="S9" s="13" t="n"/>
      <c r="T9" s="9" t="inlineStr">
        <is>
          <t>22 live brushwood spurs + 36 brushwood check dams installed; post - flood inspection June 2024 confirmed structural integrity.</t>
        </is>
      </c>
    </row>
    <row r="10" ht="20" customHeight="1">
      <c r="A10" s="3" t="inlineStr">
        <is>
          <t>Freshwater</t>
        </is>
      </c>
      <c r="B10" s="3" t="inlineStr">
        <is>
          <t>Khyber Pakhtunkhwa</t>
        </is>
      </c>
      <c r="C10" s="3" t="inlineStr">
        <is>
          <t>Chitral Integrated Flood Risk Management</t>
        </is>
      </c>
      <c r="D10" s="3" t="inlineStr">
        <is>
          <t>C. WATERSHED MANAGEMENT AND FLOOD-CONTROL MEASURES</t>
        </is>
      </c>
      <c r="E10" s="3" t="inlineStr">
        <is>
          <t>C-3</t>
        </is>
      </c>
      <c r="F10" s="3" t="inlineStr">
        <is>
          <t>Combined engineering and vegetative measures</t>
        </is>
      </c>
      <c r="G10" s="3" t="inlineStr">
        <is>
          <t>Vegetated loose-stone spurs for flood control and slope stabilization.</t>
        </is>
      </c>
      <c r="H10" s="5" t="n"/>
      <c r="I10" s="6" t="n">
        <v>5.2</v>
      </c>
      <c r="J10" s="7" t="n"/>
      <c r="K10" s="5" t="n"/>
      <c r="L10" s="6" t="n">
        <v>9.800000000000001</v>
      </c>
      <c r="M10" s="7" t="n"/>
      <c r="N10" s="5" t="n"/>
      <c r="O10" s="6" t="n">
        <v>14.3</v>
      </c>
      <c r="P10" s="7" t="n"/>
      <c r="Q10" s="5" t="n"/>
      <c r="R10" s="6" t="n"/>
      <c r="S10" s="7" t="n"/>
      <c r="T10" s="3" t="inlineStr">
        <is>
          <t>Vegetated loose - stone spurs combined with willow stakes; Source: CIFRM Year - 2 progress report.</t>
        </is>
      </c>
    </row>
    <row r="11" ht="20" customHeight="1">
      <c r="A11" s="9" t="inlineStr">
        <is>
          <t>Forests</t>
        </is>
      </c>
      <c r="B11" s="9" t="inlineStr">
        <is>
          <t>Khyber Pakhtunkhwa</t>
        </is>
      </c>
      <c r="C11" s="9" t="inlineStr">
        <is>
          <t>Billion Tree Tsunami - KP Phase II</t>
        </is>
      </c>
      <c r="D11" s="9" t="inlineStr">
        <is>
          <t>D. OTHER FORESTRY-RELATED MEASURES</t>
        </is>
      </c>
      <c r="E11" s="9" t="inlineStr">
        <is>
          <t>D-1</t>
        </is>
      </c>
      <c r="F11" s="9" t="inlineStr">
        <is>
          <t>Fruit plants under forestry-related projects</t>
        </is>
      </c>
      <c r="G11" s="9" t="inlineStr">
        <is>
          <t>Planting or distribution as part of forestry, rangeland or watershed-management interventions.</t>
        </is>
      </c>
      <c r="H11" s="11" t="n">
        <v>12500</v>
      </c>
      <c r="I11" s="12" t="n">
        <v>28</v>
      </c>
      <c r="J11" s="13" t="n">
        <v>0.8</v>
      </c>
      <c r="K11" s="11" t="n">
        <v>16800</v>
      </c>
      <c r="L11" s="12" t="n">
        <v>38.5</v>
      </c>
      <c r="M11" s="13" t="n">
        <v>0.83</v>
      </c>
      <c r="N11" s="11" t="n">
        <v>19200</v>
      </c>
      <c r="O11" s="12" t="n">
        <v>44</v>
      </c>
      <c r="P11" s="13" t="n">
        <v>0.85</v>
      </c>
      <c r="Q11" s="11" t="n"/>
      <c r="R11" s="12" t="n"/>
      <c r="S11" s="13" t="n"/>
      <c r="T11" s="9" t="inlineStr">
        <is>
          <t>Fruit species: mango, guava, apricot, pomegranate; distributed to 1,240 households; verified via beneficiary lists.</t>
        </is>
      </c>
    </row>
    <row r="12" ht="20" customHeight="1">
      <c r="A12" s="3" t="inlineStr">
        <is>
          <t>Forests</t>
        </is>
      </c>
      <c r="B12" s="3" t="inlineStr">
        <is>
          <t>Khyber Pakhtunkhwa</t>
        </is>
      </c>
      <c r="C12" s="3" t="inlineStr">
        <is>
          <t>Wild Olive Restoration - FATA/KP Merged Districts</t>
        </is>
      </c>
      <c r="D12" s="3" t="inlineStr">
        <is>
          <t>D. OTHER FORESTRY-RELATED MEASURES</t>
        </is>
      </c>
      <c r="E12" s="3" t="inlineStr">
        <is>
          <t>D-2</t>
        </is>
      </c>
      <c r="F12" s="3" t="inlineStr">
        <is>
          <t>Grafting of naturally occurring wild olive trees</t>
        </is>
      </c>
      <c r="G12" s="3" t="inlineStr">
        <is>
          <t>Grafting of Olea ferruginea with cultivated olive varieties.</t>
        </is>
      </c>
      <c r="H12" s="5" t="n">
        <v>3200</v>
      </c>
      <c r="I12" s="6" t="n"/>
      <c r="J12" s="7" t="n">
        <v>0.7</v>
      </c>
      <c r="K12" s="5" t="n">
        <v>4800</v>
      </c>
      <c r="L12" s="6" t="n"/>
      <c r="M12" s="7" t="n">
        <v>0.74</v>
      </c>
      <c r="N12" s="5" t="n">
        <v>5500</v>
      </c>
      <c r="O12" s="6" t="n"/>
      <c r="P12" s="7" t="n">
        <v>0.77</v>
      </c>
      <c r="Q12" s="5" t="n">
        <v>6100</v>
      </c>
      <c r="R12" s="6" t="n"/>
      <c r="S12" s="7" t="n">
        <v>0.79</v>
      </c>
      <c r="T12" s="3" t="inlineStr">
        <is>
          <t>Grafting of Olea ferruginea with cultivated olive varieties; Source: FATA Secretariat extension records.</t>
        </is>
      </c>
    </row>
    <row r="13" ht="20" customHeight="1">
      <c r="A13" s="9" t="inlineStr">
        <is>
          <t>Forests</t>
        </is>
      </c>
      <c r="B13" s="9" t="inlineStr">
        <is>
          <t>Federal / National</t>
        </is>
      </c>
      <c r="C13" s="9" t="inlineStr">
        <is>
          <t>Green Pakistan Initiative - Federal</t>
        </is>
      </c>
      <c r="D13" s="9" t="inlineStr">
        <is>
          <t>D. OTHER FORESTRY-RELATED MEASURES</t>
        </is>
      </c>
      <c r="E13" s="9" t="inlineStr">
        <is>
          <t>D-3</t>
        </is>
      </c>
      <c r="F13" s="9" t="inlineStr">
        <is>
          <t>Distribution of seedlings</t>
        </is>
      </c>
      <c r="G13" s="9" t="inlineStr">
        <is>
          <t>Provision to farmers, schools, communities or institutions for subsequent planting.</t>
        </is>
      </c>
      <c r="H13" s="11" t="n">
        <v>85000</v>
      </c>
      <c r="I13" s="12" t="n"/>
      <c r="J13" s="13" t="n"/>
      <c r="K13" s="11" t="n">
        <v>120000</v>
      </c>
      <c r="L13" s="12" t="n"/>
      <c r="M13" s="13" t="n"/>
      <c r="N13" s="11" t="n">
        <v>145000</v>
      </c>
      <c r="O13" s="12" t="n"/>
      <c r="P13" s="13" t="n"/>
      <c r="Q13" s="11" t="n"/>
      <c r="R13" s="12" t="n"/>
      <c r="S13" s="13" t="n"/>
      <c r="T13" s="9" t="inlineStr">
        <is>
          <t>Seedlings distributed to farmers, schools and communities; distribution verified; planted survival not tracked separately.</t>
        </is>
      </c>
    </row>
    <row r="14" ht="20" customHeight="1">
      <c r="A14" s="3" t="inlineStr">
        <is>
          <t>Forests</t>
        </is>
      </c>
      <c r="B14" s="3" t="inlineStr">
        <is>
          <t>National</t>
        </is>
      </c>
      <c r="C14" s="3" t="inlineStr">
        <is>
          <t>National Environment Day &amp; Planting Campaigns</t>
        </is>
      </c>
      <c r="D14" s="3" t="inlineStr">
        <is>
          <t>D. OTHER FORESTRY-RELATED MEASURES</t>
        </is>
      </c>
      <c r="E14" s="3" t="inlineStr">
        <is>
          <t>D-4</t>
        </is>
      </c>
      <c r="F14" s="3" t="inlineStr">
        <is>
          <t>Campaign/event plantations</t>
        </is>
      </c>
      <c r="G14" s="3" t="inlineStr">
        <is>
          <t>Plants established during environmental campaigns, commemorative events or public plantation drives.</t>
        </is>
      </c>
      <c r="H14" s="5" t="n">
        <v>35000</v>
      </c>
      <c r="I14" s="6" t="n">
        <v>22</v>
      </c>
      <c r="J14" s="7" t="n"/>
      <c r="K14" s="5" t="n">
        <v>48000</v>
      </c>
      <c r="L14" s="6" t="n">
        <v>30.5</v>
      </c>
      <c r="M14" s="7" t="n"/>
      <c r="N14" s="5" t="n">
        <v>52000</v>
      </c>
      <c r="O14" s="6" t="n">
        <v>34</v>
      </c>
      <c r="P14" s="7" t="n"/>
      <c r="Q14" s="5" t="n"/>
      <c r="R14" s="6" t="n"/>
      <c r="S14" s="7" t="n"/>
      <c r="T14" s="3" t="inlineStr">
        <is>
          <t>Events: World Environment Day (June 5), Pakistan Day campaigns; geotagged photos archived; plantation register available.</t>
        </is>
      </c>
    </row>
    <row r="15" ht="20" customHeight="1">
      <c r="A15" s="9" t="inlineStr">
        <is>
          <t>Forests</t>
        </is>
      </c>
      <c r="B15" s="9" t="inlineStr">
        <is>
          <t>Azad Jammu &amp; Kashmir</t>
        </is>
      </c>
      <c r="C15" s="9" t="inlineStr">
        <is>
          <t>Community Forest Protection - AJK</t>
        </is>
      </c>
      <c r="D15" s="9" t="inlineStr">
        <is>
          <t>D. OTHER FORESTRY-RELATED MEASURES</t>
        </is>
      </c>
      <c r="E15" s="9" t="inlineStr">
        <is>
          <t>D-5</t>
        </is>
      </c>
      <c r="F15" s="9" t="inlineStr">
        <is>
          <t>Forest/community protection</t>
        </is>
      </c>
      <c r="G15" s="9" t="inlineStr">
        <is>
          <t>Protection of existing forest or tree cover through agreements, watchers, fencing, fire management.</t>
        </is>
      </c>
      <c r="H15" s="11" t="n"/>
      <c r="I15" s="12" t="n">
        <v>3800</v>
      </c>
      <c r="J15" s="13" t="n"/>
      <c r="K15" s="11" t="n"/>
      <c r="L15" s="12" t="n">
        <v>4200</v>
      </c>
      <c r="M15" s="13" t="n"/>
      <c r="N15" s="11" t="n"/>
      <c r="O15" s="12" t="n">
        <v>4600</v>
      </c>
      <c r="P15" s="13" t="n"/>
      <c r="Q15" s="11" t="n"/>
      <c r="R15" s="12" t="n">
        <v>5100</v>
      </c>
      <c r="S15" s="13" t="n"/>
      <c r="T15" s="9" t="inlineStr">
        <is>
          <t>Community Forest Mgt Agreements with 28 villages; 34 FTE watchers deployed; Source: AJK Forests Dept MoU signed 2023.</t>
        </is>
      </c>
    </row>
    <row r="16" ht="20" customHeight="1">
      <c r="A16" s="3" t="inlineStr">
        <is>
          <t>Food</t>
        </is>
      </c>
      <c r="B16" s="3" t="inlineStr">
        <is>
          <t>Balochistan</t>
        </is>
      </c>
      <c r="C16" s="3" t="inlineStr">
        <is>
          <t>Climate - Smart Agriculture &amp; Agroforestry - Balochistan</t>
        </is>
      </c>
      <c r="D16" s="3" t="inlineStr">
        <is>
          <t>D. OTHER FORESTRY-RELATED MEASURES</t>
        </is>
      </c>
      <c r="E16" s="3" t="inlineStr">
        <is>
          <t>D-6</t>
        </is>
      </c>
      <c r="F16" s="3" t="inlineStr">
        <is>
          <t>Agroforestry/farm forestry</t>
        </is>
      </c>
      <c r="G16" s="3" t="inlineStr">
        <is>
          <t>Integration of trees on farms or agricultural land.</t>
        </is>
      </c>
      <c r="H16" s="5" t="n">
        <v>18000</v>
      </c>
      <c r="I16" s="6" t="n">
        <v>85</v>
      </c>
      <c r="J16" s="7" t="n">
        <v>0.76</v>
      </c>
      <c r="K16" s="5" t="n">
        <v>26000</v>
      </c>
      <c r="L16" s="6" t="n">
        <v>120</v>
      </c>
      <c r="M16" s="7" t="n">
        <v>0.79</v>
      </c>
      <c r="N16" s="5" t="n">
        <v>34000</v>
      </c>
      <c r="O16" s="6" t="n">
        <v>158</v>
      </c>
      <c r="P16" s="7" t="n">
        <v>0.82</v>
      </c>
      <c r="Q16" s="5" t="n"/>
      <c r="R16" s="6" t="n"/>
      <c r="S16" s="7" t="n"/>
      <c r="T16" s="3" t="inlineStr">
        <is>
          <t>Poplar, Eucalyptus &amp; Moringa integrated on 850 farms; Source: CSA project farmer records &amp; field verification reports.</t>
        </is>
      </c>
    </row>
    <row r="17" ht="20" customHeight="1">
      <c r="A17" s="9" t="inlineStr">
        <is>
          <t>Marine</t>
        </is>
      </c>
      <c r="B17" s="9" t="inlineStr">
        <is>
          <t>Sindh</t>
        </is>
      </c>
      <c r="C17" s="9" t="inlineStr">
        <is>
          <t>Indus Delta Mangrove Restoration - Sindh</t>
        </is>
      </c>
      <c r="D17" s="9" t="inlineStr">
        <is>
          <t>D. OTHER FORESTRY-RELATED MEASURES</t>
        </is>
      </c>
      <c r="E17" s="9" t="inlineStr">
        <is>
          <t>D-7</t>
        </is>
      </c>
      <c r="F17" s="9" t="inlineStr">
        <is>
          <t>Mangrove/coastal forest restoration</t>
        </is>
      </c>
      <c r="G17" s="9" t="inlineStr">
        <is>
          <t>Restoration and conservation of coastal mangrove ecosystems.</t>
        </is>
      </c>
      <c r="H17" s="11" t="n"/>
      <c r="I17" s="12" t="n">
        <v>520</v>
      </c>
      <c r="J17" s="13" t="n"/>
      <c r="K17" s="11" t="n"/>
      <c r="L17" s="12" t="n">
        <v>720</v>
      </c>
      <c r="M17" s="13" t="n"/>
      <c r="N17" s="11" t="n"/>
      <c r="O17" s="12" t="n">
        <v>960</v>
      </c>
      <c r="P17" s="13" t="n"/>
      <c r="Q17" s="11" t="n"/>
      <c r="R17" s="12" t="n">
        <v>1200</v>
      </c>
      <c r="S17" s="13" t="n"/>
      <c r="T17" s="9" t="inlineStr">
        <is>
          <t>Species: Avicennia marina, Rhizophora mucronata; community - based protection; Source: IDMR satellite imagery analysis 2024.</t>
        </is>
      </c>
    </row>
    <row r="18" ht="20" customHeight="1">
      <c r="A18" s="3" t="inlineStr">
        <is>
          <t>Forests</t>
        </is>
      </c>
      <c r="B18" s="3" t="inlineStr">
        <is>
          <t>Punjab</t>
        </is>
      </c>
      <c r="C18" s="3" t="inlineStr">
        <is>
          <t>Urban Greening &amp; School Plantation Initiative - Punjab</t>
        </is>
      </c>
      <c r="D18" s="3" t="inlineStr">
        <is>
          <t>D. OTHER FORESTRY-RELATED MEASURES</t>
        </is>
      </c>
      <c r="E18" s="3" t="inlineStr">
        <is>
          <t>D-8</t>
        </is>
      </c>
      <c r="F18" s="3" t="inlineStr">
        <is>
          <t>Urban Greening &amp; School Plantation</t>
        </is>
      </c>
      <c r="G18" s="3" t="inlineStr">
        <is>
          <t>Urban tree planting in metropolitan schools and community spaces.</t>
        </is>
      </c>
      <c r="H18" s="5" t="n">
        <v>28000</v>
      </c>
      <c r="I18" s="6" t="n">
        <v>14</v>
      </c>
      <c r="J18" s="7" t="n">
        <v>0.72</v>
      </c>
      <c r="K18" s="5" t="n">
        <v>36000</v>
      </c>
      <c r="L18" s="6" t="n">
        <v>18.5</v>
      </c>
      <c r="M18" s="7" t="n">
        <v>0.75</v>
      </c>
      <c r="N18" s="5" t="n"/>
      <c r="O18" s="6" t="n"/>
      <c r="P18" s="7" t="n"/>
      <c r="Q18" s="5" t="n"/>
      <c r="R18" s="6" t="n"/>
      <c r="S18" s="7" t="n"/>
      <c r="T18" s="3" t="inlineStr">
        <is>
          <t>Urban tree planting in Lahore, Faisalabad, Multan; species: Ficus, Conocarpus, Dalbergia; Source: Punjab Env. Dept records.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6" customWidth="1" min="11" max="11"/>
    <col width="16" customWidth="1" min="12" max="12"/>
  </cols>
  <sheetData>
    <row r="2" ht="36" customHeight="1">
      <c r="B2" s="14" t="inlineStr">
        <is>
          <t>WWF-Pakistan Forestry &amp; Ecological Interventions Dashboard (2023–2026)</t>
        </is>
      </c>
    </row>
    <row r="3" ht="20" customHeight="1">
      <c r="B3" s="15" t="inlineStr">
        <is>
          <t>Automated summary analytics dynamically calculated from the normalized 'Fact_Forestry_Data' sheet.</t>
        </is>
      </c>
    </row>
    <row r="5">
      <c r="B5" s="16" t="inlineStr">
        <is>
          <t>TOTAL PLANTS PLANTED / DISTRIBUTED</t>
        </is>
      </c>
      <c r="C5" s="17" t="n"/>
      <c r="D5" s="17" t="n"/>
      <c r="E5" s="16" t="inlineStr">
        <is>
          <t>TOTAL AREA COVERED / PROTECTED (HA)</t>
        </is>
      </c>
      <c r="F5" s="17" t="n"/>
      <c r="G5" s="17" t="n"/>
      <c r="H5" s="16" t="inlineStr">
        <is>
          <t>AVG SURVIVAL RATE (%)</t>
        </is>
      </c>
      <c r="I5" s="17" t="n"/>
      <c r="J5" s="16" t="inlineStr">
        <is>
          <t>TOTAL INTERVENTIONS MONITORED</t>
        </is>
      </c>
      <c r="K5" s="17" t="n"/>
      <c r="L5" s="17" t="n"/>
    </row>
    <row r="6">
      <c r="B6" s="18">
        <f>SUM(Fact_Forestry_Data!J2:J69)</f>
        <v/>
      </c>
      <c r="C6" s="17" t="n"/>
      <c r="D6" s="17" t="n"/>
      <c r="E6" s="19">
        <f>SUM(Fact_Forestry_Data!K2:K69)</f>
        <v/>
      </c>
      <c r="F6" s="17" t="n"/>
      <c r="G6" s="17" t="n"/>
      <c r="H6" s="20">
        <f>AVERAGE(Fact_Forestry_Data!L2:L69)</f>
        <v/>
      </c>
      <c r="I6" s="17" t="n"/>
      <c r="J6" s="21">
        <f>COUNTA(Forestry_Data_Wide!A2:A18)</f>
        <v/>
      </c>
      <c r="K6" s="17" t="n"/>
      <c r="L6" s="17" t="n"/>
    </row>
    <row r="7"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10">
      <c r="B10" s="22" t="inlineStr">
        <is>
          <t>1. ANNUAL ACHIEVEMENT TRENDS (2023–2026)</t>
        </is>
      </c>
      <c r="H10" s="22" t="inlineStr">
        <is>
          <t>2. THEMATIC PRACTICE SUMMARY</t>
        </is>
      </c>
    </row>
    <row r="11" ht="24" customHeight="1">
      <c r="B11" s="23" t="inlineStr">
        <is>
          <t>Reporting Year</t>
        </is>
      </c>
      <c r="C11" s="23" t="inlineStr">
        <is>
          <t>Plants Planted / Sown</t>
        </is>
      </c>
      <c r="D11" s="23" t="inlineStr">
        <is>
          <t>Area Covered (ha)</t>
        </is>
      </c>
      <c r="E11" s="23" t="inlineStr">
        <is>
          <t>Average Survival Rate</t>
        </is>
      </c>
      <c r="F11" s="23" t="inlineStr">
        <is>
          <t>Active Measures</t>
        </is>
      </c>
      <c r="H11" s="23" t="inlineStr">
        <is>
          <t>Practice</t>
        </is>
      </c>
      <c r="I11" s="23" t="inlineStr">
        <is>
          <t>Total Plants</t>
        </is>
      </c>
      <c r="J11" s="23" t="inlineStr">
        <is>
          <t>Total Area (ha)</t>
        </is>
      </c>
      <c r="K11" s="23" t="inlineStr">
        <is>
          <t>Avg Survival %</t>
        </is>
      </c>
      <c r="L11" s="23" t="inlineStr">
        <is>
          <t>% of Total Plants</t>
        </is>
      </c>
    </row>
    <row r="12">
      <c r="B12" s="24" t="n">
        <v>2023</v>
      </c>
      <c r="C12" s="25">
        <f>SUMIFS(Fact_Forestry_Data!$J$2:$J$69, Fact_Forestry_Data!$I$2:$I$69, 2023)</f>
        <v/>
      </c>
      <c r="D12" s="26">
        <f>SUMIFS(Fact_Forestry_Data!$K$2:$K$69, Fact_Forestry_Data!$I$2:$I$69, 2023)</f>
        <v/>
      </c>
      <c r="E12" s="27">
        <f>AVERAGEIFS(Fact_Forestry_Data!$L$2:$L$69, Fact_Forestry_Data!$I$2:$I$69, 2023)</f>
        <v/>
      </c>
      <c r="F12" s="28">
        <f>COUNTIFS(Fact_Forestry_Data!$I$2:$I$69, 2023, Fact_Forestry_Data!$K$2:$K$69, "&gt;0") + COUNTIFS(Fact_Forestry_Data!$I$2:$I$69, 2023, Fact_Forestry_Data!$J$2:$J$69, "&gt;0")</f>
        <v/>
      </c>
      <c r="H12" s="29" t="inlineStr">
        <is>
          <t>Forests</t>
        </is>
      </c>
      <c r="I12" s="25">
        <f>SUMIF(Fact_Forestry_Data!$B$2:$B$69, "Forests", Fact_Forestry_Data!$J$2:$J$69)</f>
        <v/>
      </c>
      <c r="J12" s="26">
        <f>SUMIF(Fact_Forestry_Data!$B$2:$B$69, "Forests", Fact_Forestry_Data!$K$2:$K$69)</f>
        <v/>
      </c>
      <c r="K12" s="27">
        <f>AVERAGEIF(Fact_Forestry_Data!$B$2:$B$69, "Forests", Fact_Forestry_Data!$L$2:$L$69)</f>
        <v/>
      </c>
      <c r="L12" s="27">
        <f>IF($C$16&gt;0, I12/$C$16, 0)</f>
        <v/>
      </c>
    </row>
    <row r="13">
      <c r="B13" s="30" t="n">
        <v>2024</v>
      </c>
      <c r="C13" s="31">
        <f>SUMIFS(Fact_Forestry_Data!$J$2:$J$69, Fact_Forestry_Data!$I$2:$I$69, 2024)</f>
        <v/>
      </c>
      <c r="D13" s="32">
        <f>SUMIFS(Fact_Forestry_Data!$K$2:$K$69, Fact_Forestry_Data!$I$2:$I$69, 2024)</f>
        <v/>
      </c>
      <c r="E13" s="33">
        <f>AVERAGEIFS(Fact_Forestry_Data!$L$2:$L$69, Fact_Forestry_Data!$I$2:$I$69, 2024)</f>
        <v/>
      </c>
      <c r="F13" s="34">
        <f>COUNTIFS(Fact_Forestry_Data!$I$2:$I$69, 2024, Fact_Forestry_Data!$K$2:$K$69, "&gt;0") + COUNTIFS(Fact_Forestry_Data!$I$2:$I$69, 2024, Fact_Forestry_Data!$J$2:$J$69, "&gt;0")</f>
        <v/>
      </c>
      <c r="H13" s="35" t="inlineStr">
        <is>
          <t>Freshwater</t>
        </is>
      </c>
      <c r="I13" s="31">
        <f>SUMIF(Fact_Forestry_Data!$B$2:$B$69, "Freshwater", Fact_Forestry_Data!$J$2:$J$69)</f>
        <v/>
      </c>
      <c r="J13" s="32">
        <f>SUMIF(Fact_Forestry_Data!$B$2:$B$69, "Freshwater", Fact_Forestry_Data!$K$2:$K$69)</f>
        <v/>
      </c>
      <c r="K13" s="33">
        <f>AVERAGEIF(Fact_Forestry_Data!$B$2:$B$69, "Freshwater", Fact_Forestry_Data!$L$2:$L$69)</f>
        <v/>
      </c>
      <c r="L13" s="33">
        <f>IF($C$16&gt;0, I13/$C$16, 0)</f>
        <v/>
      </c>
    </row>
    <row r="14">
      <c r="B14" s="24" t="n">
        <v>2025</v>
      </c>
      <c r="C14" s="25">
        <f>SUMIFS(Fact_Forestry_Data!$J$2:$J$69, Fact_Forestry_Data!$I$2:$I$69, 2025)</f>
        <v/>
      </c>
      <c r="D14" s="26">
        <f>SUMIFS(Fact_Forestry_Data!$K$2:$K$69, Fact_Forestry_Data!$I$2:$I$69, 2025)</f>
        <v/>
      </c>
      <c r="E14" s="27">
        <f>AVERAGEIFS(Fact_Forestry_Data!$L$2:$L$69, Fact_Forestry_Data!$I$2:$I$69, 2025)</f>
        <v/>
      </c>
      <c r="F14" s="28">
        <f>COUNTIFS(Fact_Forestry_Data!$I$2:$I$69, 2025, Fact_Forestry_Data!$K$2:$K$69, "&gt;0") + COUNTIFS(Fact_Forestry_Data!$I$2:$I$69, 2025, Fact_Forestry_Data!$J$2:$J$69, "&gt;0")</f>
        <v/>
      </c>
      <c r="H14" s="29" t="inlineStr">
        <is>
          <t>Food</t>
        </is>
      </c>
      <c r="I14" s="25">
        <f>SUMIF(Fact_Forestry_Data!$B$2:$B$69, "Food", Fact_Forestry_Data!$J$2:$J$69)</f>
        <v/>
      </c>
      <c r="J14" s="26">
        <f>SUMIF(Fact_Forestry_Data!$B$2:$B$69, "Food", Fact_Forestry_Data!$K$2:$K$69)</f>
        <v/>
      </c>
      <c r="K14" s="27">
        <f>AVERAGEIF(Fact_Forestry_Data!$B$2:$B$69, "Food", Fact_Forestry_Data!$L$2:$L$69)</f>
        <v/>
      </c>
      <c r="L14" s="27">
        <f>IF($C$16&gt;0, I14/$C$16, 0)</f>
        <v/>
      </c>
    </row>
    <row r="15">
      <c r="B15" s="30" t="n">
        <v>2026</v>
      </c>
      <c r="C15" s="31">
        <f>SUMIFS(Fact_Forestry_Data!$J$2:$J$69, Fact_Forestry_Data!$I$2:$I$69, 2026)</f>
        <v/>
      </c>
      <c r="D15" s="32">
        <f>SUMIFS(Fact_Forestry_Data!$K$2:$K$69, Fact_Forestry_Data!$I$2:$I$69, 2026)</f>
        <v/>
      </c>
      <c r="E15" s="33">
        <f>AVERAGEIFS(Fact_Forestry_Data!$L$2:$L$69, Fact_Forestry_Data!$I$2:$I$69, 2026)</f>
        <v/>
      </c>
      <c r="F15" s="34">
        <f>COUNTIFS(Fact_Forestry_Data!$I$2:$I$69, 2026, Fact_Forestry_Data!$K$2:$K$69, "&gt;0") + COUNTIFS(Fact_Forestry_Data!$I$2:$I$69, 2026, Fact_Forestry_Data!$J$2:$J$69, "&gt;0")</f>
        <v/>
      </c>
      <c r="H15" s="35" t="inlineStr">
        <is>
          <t>Marine</t>
        </is>
      </c>
      <c r="I15" s="31">
        <f>SUMIF(Fact_Forestry_Data!$B$2:$B$69, "Marine", Fact_Forestry_Data!$J$2:$J$69)</f>
        <v/>
      </c>
      <c r="J15" s="32">
        <f>SUMIF(Fact_Forestry_Data!$B$2:$B$69, "Marine", Fact_Forestry_Data!$K$2:$K$69)</f>
        <v/>
      </c>
      <c r="K15" s="33">
        <f>AVERAGEIF(Fact_Forestry_Data!$B$2:$B$69, "Marine", Fact_Forestry_Data!$L$2:$L$69)</f>
        <v/>
      </c>
      <c r="L15" s="33">
        <f>IF($C$16&gt;0, I15/$C$16, 0)</f>
        <v/>
      </c>
    </row>
    <row r="16">
      <c r="B16" s="36" t="inlineStr">
        <is>
          <t>Grand Total / Overall Avg</t>
        </is>
      </c>
      <c r="C16" s="37">
        <f>SUM(C12:C15)</f>
        <v/>
      </c>
      <c r="D16" s="38">
        <f>SUM(D12:D15)</f>
        <v/>
      </c>
      <c r="E16" s="39">
        <f>AVERAGE(E12:E15)</f>
        <v/>
      </c>
      <c r="F16" s="37">
        <f>SUM(F12:F15)</f>
        <v/>
      </c>
      <c r="H16" s="40" t="inlineStr">
        <is>
          <t>Total</t>
        </is>
      </c>
      <c r="I16" s="37">
        <f>SUM(I12:I15)</f>
        <v/>
      </c>
      <c r="J16" s="38">
        <f>SUM(J12:J15)</f>
        <v/>
      </c>
      <c r="K16" s="39">
        <f>AVERAGE(K12:K15)</f>
        <v/>
      </c>
      <c r="L16" s="39">
        <f>SUM(L12:L15)</f>
        <v/>
      </c>
    </row>
    <row r="19">
      <c r="B19" s="22" t="inlineStr">
        <is>
          <t>3. INTERVENTION CATEGORY PERFORMANCE SUMMARY</t>
        </is>
      </c>
    </row>
    <row r="20">
      <c r="B20" s="23" t="inlineStr">
        <is>
          <t>Intervention Category</t>
        </is>
      </c>
      <c r="C20" s="41" t="n"/>
      <c r="D20" s="41" t="n"/>
      <c r="E20" s="23" t="inlineStr">
        <is>
          <t>Total Plants (2023–26)</t>
        </is>
      </c>
      <c r="F20" s="41" t="n"/>
      <c r="G20" s="23" t="inlineStr">
        <is>
          <t>Total Area Covered (ha)</t>
        </is>
      </c>
      <c r="H20" s="41" t="n"/>
      <c r="I20" s="23" t="inlineStr">
        <is>
          <t>Average Survival Rate (%)</t>
        </is>
      </c>
      <c r="J20" s="41" t="n"/>
      <c r="K20" s="23" t="inlineStr">
        <is>
          <t>Interventions Count</t>
        </is>
      </c>
      <c r="L20" s="41" t="n"/>
    </row>
    <row r="21">
      <c r="B21" s="42" t="inlineStr">
        <is>
          <t>A. AFFORESTATION, REFORESTATION AND REVEGETATION</t>
        </is>
      </c>
      <c r="C21" s="43" t="n"/>
      <c r="D21" s="43" t="n"/>
      <c r="E21" s="44">
        <f>SUMIF(Fact_Forestry_Data!$E$2:$E$69, "A. AFFORESTATION, REFORESTATION AND REVEGETATION", Fact_Forestry_Data!$J$2:$J$69)</f>
        <v/>
      </c>
      <c r="F21" s="43" t="n"/>
      <c r="G21" s="45">
        <f>SUMIF(Fact_Forestry_Data!$E$2:$E$69, "A. AFFORESTATION, REFORESTATION AND REVEGETATION", Fact_Forestry_Data!$K$2:$K$69)</f>
        <v/>
      </c>
      <c r="H21" s="43" t="n"/>
      <c r="I21" s="46">
        <f>AVERAGEIF(Fact_Forestry_Data!$E$2:$E$69, "A. AFFORESTATION, REFORESTATION AND REVEGETATION", Fact_Forestry_Data!$L$2:$L$69)</f>
        <v/>
      </c>
      <c r="J21" s="43" t="n"/>
      <c r="K21" s="47">
        <f>COUNTIF(Forestry_Data_Wide!$D$2:$D$18, "A. AFFORESTATION, REFORESTATION AND REVEGETATION")</f>
        <v/>
      </c>
      <c r="L21" s="43" t="n"/>
    </row>
    <row r="22">
      <c r="B22" s="48" t="inlineStr">
        <is>
          <t>B. RANGELAND AND GRASSLAND MANAGEMENT</t>
        </is>
      </c>
      <c r="C22" s="49" t="n"/>
      <c r="D22" s="49" t="n"/>
      <c r="E22" s="50">
        <f>SUMIF(Fact_Forestry_Data!$E$2:$E$69, "B. RANGELAND AND GRASSLAND MANAGEMENT", Fact_Forestry_Data!$J$2:$J$69)</f>
        <v/>
      </c>
      <c r="F22" s="49" t="n"/>
      <c r="G22" s="51">
        <f>SUMIF(Fact_Forestry_Data!$E$2:$E$69, "B. RANGELAND AND GRASSLAND MANAGEMENT", Fact_Forestry_Data!$K$2:$K$69)</f>
        <v/>
      </c>
      <c r="H22" s="49" t="n"/>
      <c r="I22" s="52">
        <f>AVERAGEIF(Fact_Forestry_Data!$E$2:$E$69, "B. RANGELAND AND GRASSLAND MANAGEMENT", Fact_Forestry_Data!$L$2:$L$69)</f>
        <v/>
      </c>
      <c r="J22" s="49" t="n"/>
      <c r="K22" s="53">
        <f>COUNTIF(Forestry_Data_Wide!$D$2:$D$18, "B. RANGELAND AND GRASSLAND MANAGEMENT")</f>
        <v/>
      </c>
      <c r="L22" s="49" t="n"/>
    </row>
    <row r="23">
      <c r="B23" s="42" t="inlineStr">
        <is>
          <t>C. WATERSHED MANAGEMENT AND FLOOD-CONTROL MEASURES</t>
        </is>
      </c>
      <c r="C23" s="43" t="n"/>
      <c r="D23" s="43" t="n"/>
      <c r="E23" s="44">
        <f>SUMIF(Fact_Forestry_Data!$E$2:$E$69, "C. WATERSHED MANAGEMENT AND FLOOD-CONTROL MEASURES", Fact_Forestry_Data!$J$2:$J$69)</f>
        <v/>
      </c>
      <c r="F23" s="43" t="n"/>
      <c r="G23" s="45">
        <f>SUMIF(Fact_Forestry_Data!$E$2:$E$69, "C. WATERSHED MANAGEMENT AND FLOOD-CONTROL MEASURES", Fact_Forestry_Data!$K$2:$K$69)</f>
        <v/>
      </c>
      <c r="H23" s="43" t="n"/>
      <c r="I23" s="46">
        <f>AVERAGEIF(Fact_Forestry_Data!$E$2:$E$69, "C. WATERSHED MANAGEMENT AND FLOOD-CONTROL MEASURES", Fact_Forestry_Data!$L$2:$L$69)</f>
        <v/>
      </c>
      <c r="J23" s="43" t="n"/>
      <c r="K23" s="47">
        <f>COUNTIF(Forestry_Data_Wide!$D$2:$D$18, "C. WATERSHED MANAGEMENT AND FLOOD-CONTROL MEASURES")</f>
        <v/>
      </c>
      <c r="L23" s="43" t="n"/>
    </row>
    <row r="24">
      <c r="B24" s="48" t="inlineStr">
        <is>
          <t>D. OTHER FORESTRY-RELATED MEASURES</t>
        </is>
      </c>
      <c r="C24" s="49" t="n"/>
      <c r="D24" s="49" t="n"/>
      <c r="E24" s="50">
        <f>SUMIF(Fact_Forestry_Data!$E$2:$E$69, "D. OTHER FORESTRY-RELATED MEASURES", Fact_Forestry_Data!$J$2:$J$69)</f>
        <v/>
      </c>
      <c r="F24" s="49" t="n"/>
      <c r="G24" s="51">
        <f>SUMIF(Fact_Forestry_Data!$E$2:$E$69, "D. OTHER FORESTRY-RELATED MEASURES", Fact_Forestry_Data!$K$2:$K$69)</f>
        <v/>
      </c>
      <c r="H24" s="49" t="n"/>
      <c r="I24" s="52">
        <f>AVERAGEIF(Fact_Forestry_Data!$E$2:$E$69, "D. OTHER FORESTRY-RELATED MEASURES", Fact_Forestry_Data!$L$2:$L$69)</f>
        <v/>
      </c>
      <c r="J24" s="49" t="n"/>
      <c r="K24" s="53">
        <f>COUNTIF(Forestry_Data_Wide!$D$2:$D$18, "D. OTHER FORESTRY-RELATED MEASURES")</f>
        <v/>
      </c>
      <c r="L24" s="49" t="n"/>
    </row>
    <row r="25">
      <c r="B25" s="40" t="inlineStr">
        <is>
          <t>Total</t>
        </is>
      </c>
      <c r="C25" s="54" t="n"/>
      <c r="D25" s="54" t="n"/>
      <c r="E25" s="37">
        <f>SUM(E21:E24)</f>
        <v/>
      </c>
      <c r="F25" s="54" t="n"/>
      <c r="G25" s="38">
        <f>SUM(G21:G24)</f>
        <v/>
      </c>
      <c r="H25" s="54" t="n"/>
      <c r="I25" s="39">
        <f>AVERAGE(I21:I24)</f>
        <v/>
      </c>
      <c r="J25" s="54" t="n"/>
      <c r="K25" s="37">
        <f>SUM(K21:K24)</f>
        <v/>
      </c>
      <c r="L25" s="54" t="n"/>
    </row>
  </sheetData>
  <mergeCells count="43">
    <mergeCell ref="G21:H21"/>
    <mergeCell ref="K25:L25"/>
    <mergeCell ref="B23:D23"/>
    <mergeCell ref="E24:F24"/>
    <mergeCell ref="K24:L24"/>
    <mergeCell ref="B3:L3"/>
    <mergeCell ref="H10:L10"/>
    <mergeCell ref="E23:F23"/>
    <mergeCell ref="G23:H23"/>
    <mergeCell ref="K21:L21"/>
    <mergeCell ref="E20:F20"/>
    <mergeCell ref="K20:L20"/>
    <mergeCell ref="I25:J25"/>
    <mergeCell ref="B2:L2"/>
    <mergeCell ref="I22:J22"/>
    <mergeCell ref="K22:L22"/>
    <mergeCell ref="B24:D24"/>
    <mergeCell ref="B20:D20"/>
    <mergeCell ref="I21:J21"/>
    <mergeCell ref="B5:D5"/>
    <mergeCell ref="J6:L7"/>
    <mergeCell ref="G24:H24"/>
    <mergeCell ref="B10:F10"/>
    <mergeCell ref="I24:J24"/>
    <mergeCell ref="B19:L19"/>
    <mergeCell ref="I23:J23"/>
    <mergeCell ref="K23:L23"/>
    <mergeCell ref="B25:D25"/>
    <mergeCell ref="E6:G7"/>
    <mergeCell ref="J5:L5"/>
    <mergeCell ref="G20:H20"/>
    <mergeCell ref="B6:D7"/>
    <mergeCell ref="I20:J20"/>
    <mergeCell ref="H6:I7"/>
    <mergeCell ref="E5:G5"/>
    <mergeCell ref="B22:D22"/>
    <mergeCell ref="E25:F25"/>
    <mergeCell ref="G25:H25"/>
    <mergeCell ref="H5:I5"/>
    <mergeCell ref="E22:F22"/>
    <mergeCell ref="B21:D21"/>
    <mergeCell ref="G22:H22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23" customWidth="1" min="2" max="2"/>
    <col width="30" customWidth="1" min="3" max="3"/>
    <col width="55" customWidth="1" min="4" max="4"/>
    <col width="55" customWidth="1" min="5" max="5"/>
  </cols>
  <sheetData>
    <row r="1" ht="28" customHeight="1">
      <c r="A1" s="55" t="inlineStr">
        <is>
          <t>Field Name</t>
        </is>
      </c>
      <c r="B1" s="55" t="inlineStr">
        <is>
          <t>Data Type</t>
        </is>
      </c>
      <c r="C1" s="55" t="inlineStr">
        <is>
          <t>Role in Analytics</t>
        </is>
      </c>
      <c r="D1" s="55" t="inlineStr">
        <is>
          <t>Example Value</t>
        </is>
      </c>
      <c r="E1" s="55" t="inlineStr">
        <is>
          <t>Description / Business Rule</t>
        </is>
      </c>
    </row>
    <row r="2" ht="22" customHeight="1">
      <c r="A2" s="9" t="inlineStr">
        <is>
          <t>Record_ID</t>
        </is>
      </c>
      <c r="B2" s="9" t="inlineStr">
        <is>
          <t>Integer</t>
        </is>
      </c>
      <c r="C2" s="9" t="inlineStr">
        <is>
          <t>Primary Key</t>
        </is>
      </c>
      <c r="D2" s="9" t="inlineStr">
        <is>
          <t>1, 2, 3...</t>
        </is>
      </c>
      <c r="E2" s="56" t="inlineStr">
        <is>
          <t>Unique surrogate key for each unpivoted fact record.</t>
        </is>
      </c>
    </row>
    <row r="3" ht="22" customHeight="1">
      <c r="A3" s="3" t="inlineStr">
        <is>
          <t>Practice</t>
        </is>
      </c>
      <c r="B3" s="3" t="inlineStr">
        <is>
          <t>String (Categorical)</t>
        </is>
      </c>
      <c r="C3" s="3" t="inlineStr">
        <is>
          <t>Dimension / Slicer</t>
        </is>
      </c>
      <c r="D3" s="3" t="inlineStr">
        <is>
          <t>Forests, Freshwater, Food, Marine</t>
        </is>
      </c>
      <c r="E3" s="57" t="inlineStr">
        <is>
          <t>WWF Global Practice / Thematic programmatic pillar.</t>
        </is>
      </c>
    </row>
    <row r="4" ht="22" customHeight="1">
      <c r="A4" s="9" t="inlineStr">
        <is>
          <t>Province_Region</t>
        </is>
      </c>
      <c r="B4" s="9" t="inlineStr">
        <is>
          <t>String (Categorical)</t>
        </is>
      </c>
      <c r="C4" s="9" t="inlineStr">
        <is>
          <t>Geographic Dimension</t>
        </is>
      </c>
      <c r="D4" s="9" t="inlineStr">
        <is>
          <t>Khyber Pakhtunkhwa, Punjab, Sindh...</t>
        </is>
      </c>
      <c r="E4" s="56" t="inlineStr">
        <is>
          <t>Administrative province or territory in Pakistan where intervention took place.</t>
        </is>
      </c>
    </row>
    <row r="5" ht="22" customHeight="1">
      <c r="A5" s="3" t="inlineStr">
        <is>
          <t>Project_Name</t>
        </is>
      </c>
      <c r="B5" s="3" t="inlineStr">
        <is>
          <t>String (Categorical)</t>
        </is>
      </c>
      <c r="C5" s="3" t="inlineStr">
        <is>
          <t>Dimension</t>
        </is>
      </c>
      <c r="D5" s="3" t="inlineStr">
        <is>
          <t>Billion Tree Tsunami – KP Phase II</t>
        </is>
      </c>
      <c r="E5" s="57" t="inlineStr">
        <is>
          <t>Specific title of the WWF conservation project/initiative.</t>
        </is>
      </c>
    </row>
    <row r="6" ht="22" customHeight="1">
      <c r="A6" s="9" t="inlineStr">
        <is>
          <t>Intervention_Category</t>
        </is>
      </c>
      <c r="B6" s="9" t="inlineStr">
        <is>
          <t>String (Categorical)</t>
        </is>
      </c>
      <c r="C6" s="9" t="inlineStr">
        <is>
          <t>Hierarchy Level 1</t>
        </is>
      </c>
      <c r="D6" s="9" t="inlineStr">
        <is>
          <t>A. AFFORESTATION, REFORESTATION AND REVEGETATION</t>
        </is>
      </c>
      <c r="E6" s="56" t="inlineStr">
        <is>
          <t>High-level thematic intervention grouping (A, B, C, D).</t>
        </is>
      </c>
    </row>
    <row r="7" ht="22" customHeight="1">
      <c r="A7" s="3" t="inlineStr">
        <is>
          <t>Intervention_Code</t>
        </is>
      </c>
      <c r="B7" s="3" t="inlineStr">
        <is>
          <t>String (Categorical)</t>
        </is>
      </c>
      <c r="C7" s="3" t="inlineStr">
        <is>
          <t>Hierarchy Level 2</t>
        </is>
      </c>
      <c r="D7" s="3" t="inlineStr">
        <is>
          <t>A-1, B-2, C-3, D-7</t>
        </is>
      </c>
      <c r="E7" s="57" t="inlineStr">
        <is>
          <t>Standardized WWF classification code for the intervention type.</t>
        </is>
      </c>
    </row>
    <row r="8" ht="22" customHeight="1">
      <c r="A8" s="9" t="inlineStr">
        <is>
          <t>Intervention_Name</t>
        </is>
      </c>
      <c r="B8" s="9" t="inlineStr">
        <is>
          <t>String (Categorical)</t>
        </is>
      </c>
      <c r="C8" s="9" t="inlineStr">
        <is>
          <t>Hierarchy Level 3</t>
        </is>
      </c>
      <c r="D8" s="9" t="inlineStr">
        <is>
          <t>Planting of seedlings</t>
        </is>
      </c>
      <c r="E8" s="56" t="inlineStr">
        <is>
          <t>Concise title of the forestry or ecological activity.</t>
        </is>
      </c>
    </row>
    <row r="9" ht="22" customHeight="1">
      <c r="A9" s="3" t="inlineStr">
        <is>
          <t>Intervention_Description</t>
        </is>
      </c>
      <c r="B9" s="3" t="inlineStr">
        <is>
          <t>String (Text)</t>
        </is>
      </c>
      <c r="C9" s="3" t="inlineStr">
        <is>
          <t>Descriptive Attribute</t>
        </is>
      </c>
      <c r="D9" s="3" t="inlineStr">
        <is>
          <t>Establishing trees by planting nursery-raised seedlings.</t>
        </is>
      </c>
      <c r="E9" s="57" t="inlineStr">
        <is>
          <t>Full methodological definition and scope of the activity.</t>
        </is>
      </c>
    </row>
    <row r="10" ht="22" customHeight="1">
      <c r="A10" s="9" t="inlineStr">
        <is>
          <t>Year</t>
        </is>
      </c>
      <c r="B10" s="9" t="inlineStr">
        <is>
          <t>Integer</t>
        </is>
      </c>
      <c r="C10" s="9" t="inlineStr">
        <is>
          <t>Temporal Dimension / Slicer</t>
        </is>
      </c>
      <c r="D10" s="9" t="inlineStr">
        <is>
          <t>2023, 2024, 2025, 2026</t>
        </is>
      </c>
      <c r="E10" s="56" t="inlineStr">
        <is>
          <t>Calendar reporting year of achievement.</t>
        </is>
      </c>
    </row>
    <row r="11" ht="22" customHeight="1">
      <c r="A11" s="3" t="inlineStr">
        <is>
          <t>Plants_Count</t>
        </is>
      </c>
      <c r="B11" s="3" t="inlineStr">
        <is>
          <t>Integer (Numeric)</t>
        </is>
      </c>
      <c r="C11" s="3" t="inlineStr">
        <is>
          <t>Quantitative Measure</t>
        </is>
      </c>
      <c r="D11" s="3" t="inlineStr">
        <is>
          <t>52,000</t>
        </is>
      </c>
      <c r="E11" s="57" t="inlineStr">
        <is>
          <t>Number of plants planted, sown, naturally regenerated, or distributed.</t>
        </is>
      </c>
    </row>
    <row r="12" ht="22" customHeight="1">
      <c r="A12" s="9" t="inlineStr">
        <is>
          <t>Area_Covered_ha</t>
        </is>
      </c>
      <c r="B12" s="9" t="inlineStr">
        <is>
          <t>Decimal (Numeric)</t>
        </is>
      </c>
      <c r="C12" s="9" t="inlineStr">
        <is>
          <t>Quantitative Measure</t>
        </is>
      </c>
      <c r="D12" s="9" t="inlineStr">
        <is>
          <t>62.5</t>
        </is>
      </c>
      <c r="E12" s="56" t="inlineStr">
        <is>
          <t>Physical land/watershed/rangeland area covered or restored in hectares.</t>
        </is>
      </c>
    </row>
    <row r="13" ht="22" customHeight="1">
      <c r="A13" s="3" t="inlineStr">
        <is>
          <t>Survival_Rate_pct</t>
        </is>
      </c>
      <c r="B13" s="3" t="inlineStr">
        <is>
          <t>Percentage (Numeric)</t>
        </is>
      </c>
      <c r="C13" s="3" t="inlineStr">
        <is>
          <t>Quantitative Measure / KPI</t>
        </is>
      </c>
      <c r="D13" s="3" t="inlineStr">
        <is>
          <t>78.5%</t>
        </is>
      </c>
      <c r="E13" s="57" t="inlineStr">
        <is>
          <t>Estimated field survival or regeneration rate based on monitoring surveys.</t>
        </is>
      </c>
    </row>
    <row r="14" ht="22" customHeight="1">
      <c r="A14" s="9" t="inlineStr">
        <is>
          <t>Remarks_Evidence</t>
        </is>
      </c>
      <c r="B14" s="9" t="inlineStr">
        <is>
          <t>String (Text)</t>
        </is>
      </c>
      <c r="C14" s="9" t="inlineStr">
        <is>
          <t>Audit / Evidence Reference</t>
        </is>
      </c>
      <c r="D14" s="9" t="inlineStr">
        <is>
          <t>GPS plots verified by KP Forest Dept</t>
        </is>
      </c>
      <c r="E14" s="56" t="inlineStr">
        <is>
          <t>Supporting source citation (GIS records, registers, MoUs, satellite imagery).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WWF-Pakistan — Forestry-related Interventions: Data Collection Template (2023–2026)</t>
        </is>
      </c>
    </row>
    <row r="2">
      <c r="A2" t="inlineStr">
        <is>
          <t>Please complete the applicable rows only. If one project has more than one site or intervention of the same type, add separate rows or provide a consolidated figure supported by project records.</t>
        </is>
      </c>
    </row>
    <row r="3"/>
    <row r="4">
      <c r="A4" t="inlineStr">
        <is>
          <t>Practice</t>
        </is>
      </c>
      <c r="B4" t="inlineStr">
        <is>
          <t>Project</t>
        </is>
      </c>
      <c r="C4" t="inlineStr">
        <is>
          <t>Type of intervention</t>
        </is>
      </c>
      <c r="D4" t="inlineStr">
        <is>
          <t>Achievement in 2023</t>
        </is>
      </c>
      <c r="G4" t="inlineStr">
        <is>
          <t>Achievement in 2024</t>
        </is>
      </c>
      <c r="J4" t="inlineStr">
        <is>
          <t>Achievement in 2025</t>
        </is>
      </c>
      <c r="M4" t="inlineStr">
        <is>
          <t>Achievement in 2026</t>
        </is>
      </c>
      <c r="P4" t="inlineStr">
        <is>
          <t>Remarks / evidence reference</t>
        </is>
      </c>
    </row>
    <row r="5">
      <c r="D5" t="inlineStr">
        <is>
          <t>No. of plants planted, sown, naturally regenerated or distributed</t>
        </is>
      </c>
      <c r="E5" t="inlineStr">
        <is>
          <t>Area covered (ha)</t>
        </is>
      </c>
      <c r="F5" t="inlineStr">
        <is>
          <t>Estimated survival/regeneration rate (%)</t>
        </is>
      </c>
      <c r="G5" t="inlineStr">
        <is>
          <t>No. of plants planted, sown, naturally regenerated or distributed</t>
        </is>
      </c>
      <c r="H5" t="inlineStr">
        <is>
          <t>Area covered (ha)</t>
        </is>
      </c>
      <c r="I5" t="inlineStr">
        <is>
          <t>Estimated survival/regeneration rate (%)</t>
        </is>
      </c>
      <c r="J5" t="inlineStr">
        <is>
          <t>No. of plants planted, sown, naturally regenerated or distributed</t>
        </is>
      </c>
      <c r="K5" t="inlineStr">
        <is>
          <t>Area covered (ha)</t>
        </is>
      </c>
      <c r="L5" t="inlineStr">
        <is>
          <t>Estimated survival/regeneration rate (%)</t>
        </is>
      </c>
      <c r="M5" t="inlineStr">
        <is>
          <t>No. of plants planted, sown, naturally regenerated or distributed</t>
        </is>
      </c>
      <c r="N5" t="inlineStr">
        <is>
          <t>Area covered (ha)</t>
        </is>
      </c>
      <c r="O5" t="inlineStr">
        <is>
          <t>Estimated survival/regeneration rate (%)</t>
        </is>
      </c>
    </row>
    <row r="6">
      <c r="C6" t="inlineStr">
        <is>
          <t>A. AFFORESTATION, REFORESTATION AND REVEGETATION</t>
        </is>
      </c>
    </row>
    <row r="7">
      <c r="A7" t="inlineStr">
        <is>
          <t>Forests</t>
        </is>
      </c>
      <c r="B7" t="inlineStr">
        <is>
          <t>Billion Tree Tsunami – KP Phase II</t>
        </is>
      </c>
      <c r="C7" t="inlineStr">
        <is>
          <t>A-1. Planting of seedlings — Establishing trees by planting nursery-raised seedlings.</t>
        </is>
      </c>
      <c r="D7" t="n">
        <v>52000</v>
      </c>
      <c r="E7" t="n">
        <v>62</v>
      </c>
      <c r="F7" t="n">
        <v>78</v>
      </c>
      <c r="G7" t="n">
        <v>68500</v>
      </c>
      <c r="H7" t="n">
        <v>84.5</v>
      </c>
      <c r="I7" t="n">
        <v>82</v>
      </c>
      <c r="J7" t="n">
        <v>74200</v>
      </c>
      <c r="K7" t="n">
        <v>95</v>
      </c>
      <c r="L7" t="n">
        <v>85</v>
      </c>
      <c r="P7" t="inlineStr">
        <is>
          <t>Plantation records verified by KP Forest Dept; GPS-tagged plots. Annual monitoring report 2023 &amp; 2024.</t>
        </is>
      </c>
    </row>
    <row r="8">
      <c r="A8" t="inlineStr">
        <is>
          <t>Forests</t>
        </is>
      </c>
      <c r="B8" t="inlineStr">
        <is>
          <t>Himalayan Biodiversity &amp; Watershed Mgt – Gilgit-Baltistan</t>
        </is>
      </c>
      <c r="C8" t="inlineStr">
        <is>
          <t>A-2. Assisted Natural Regeneration — Restoring forests by protecting and managing natural regeneration, supplemented by limited seed sowing or enrichment planting where required.</t>
        </is>
      </c>
      <c r="G8" t="n">
        <v>18300</v>
      </c>
      <c r="H8" t="n">
        <v>38</v>
      </c>
      <c r="I8" t="inlineStr">
        <is>
          <t>N/A</t>
        </is>
      </c>
      <c r="J8" t="n">
        <v>24700</v>
      </c>
      <c r="K8" t="n">
        <v>52.5</v>
      </c>
      <c r="L8" t="inlineStr">
        <is>
          <t>N/A</t>
        </is>
      </c>
      <c r="M8" t="n">
        <v>31000</v>
      </c>
      <c r="N8" t="n">
        <v>68</v>
      </c>
      <c r="O8" t="inlineStr">
        <is>
          <t>N/A</t>
        </is>
      </c>
      <c r="P8" t="inlineStr">
        <is>
          <t>ANR stems estimated via line-transect sampling (n=120 plots); Source: GB Forestry Dept monitoring report 2024-Q3.</t>
        </is>
      </c>
    </row>
    <row r="9">
      <c r="A9" t="inlineStr">
        <is>
          <t>Forests</t>
        </is>
      </c>
      <c r="B9" t="inlineStr">
        <is>
          <t>Thal Desert Afforestation Project – Punjab</t>
        </is>
      </c>
      <c r="C9" t="inlineStr">
        <is>
          <t>A-3. Dry afforestation — Establishing trees in dry areas through planting and/or sowing drought-tolerant species using soil- and water-conservation techniques.</t>
        </is>
      </c>
      <c r="D9" t="n">
        <v>8500</v>
      </c>
      <c r="E9" t="n">
        <v>42</v>
      </c>
      <c r="F9" t="n">
        <v>62</v>
      </c>
      <c r="G9" t="n">
        <v>11200</v>
      </c>
      <c r="H9" t="n">
        <v>56</v>
      </c>
      <c r="I9" t="n">
        <v>67</v>
      </c>
      <c r="J9" t="n">
        <v>13800</v>
      </c>
      <c r="K9" t="n">
        <v>70</v>
      </c>
      <c r="L9" t="n">
        <v>71</v>
      </c>
      <c r="P9" t="inlineStr">
        <is>
          <t>Drought-tolerant species: Prosopis cineraria, Acacia nilotica; drip irrigation applied. Plantation register available.</t>
        </is>
      </c>
    </row>
    <row r="10">
      <c r="C10" t="inlineStr">
        <is>
          <t>B. RANGELAND AND GRASSLAND MANAGEMENT</t>
        </is>
      </c>
    </row>
    <row r="11">
      <c r="A11" t="inlineStr">
        <is>
          <t>Freshwater</t>
        </is>
      </c>
      <c r="B11" t="inlineStr">
        <is>
          <t>Indus for All Programme – Sindh &amp; Balochistan</t>
        </is>
      </c>
      <c r="C11" t="inlineStr">
        <is>
          <t>B-1. Protection of rangelands/grasslands — Protection through fencing, watchers, controlled grazing or community management arrangements.</t>
        </is>
      </c>
      <c r="E11" t="n">
        <v>1250</v>
      </c>
      <c r="F11" t="inlineStr">
        <is>
          <t>N/A</t>
        </is>
      </c>
      <c r="H11" t="n">
        <v>1800</v>
      </c>
      <c r="I11" t="inlineStr">
        <is>
          <t>N/A</t>
        </is>
      </c>
      <c r="K11" t="n">
        <v>2100</v>
      </c>
      <c r="L11" t="inlineStr">
        <is>
          <t>N/A</t>
        </is>
      </c>
      <c r="N11" t="n">
        <v>2400</v>
      </c>
      <c r="O11" t="inlineStr">
        <is>
          <t>N/A</t>
        </is>
      </c>
      <c r="P11" t="inlineStr">
        <is>
          <t>Community rangeland management committees; fencing of 85 km; Source: IFA annual progress report.</t>
        </is>
      </c>
    </row>
    <row r="12">
      <c r="A12" t="inlineStr">
        <is>
          <t>Freshwater</t>
        </is>
      </c>
      <c r="B12" t="inlineStr">
        <is>
          <t>Indus for All Programme – Sindh &amp; Balochistan</t>
        </is>
      </c>
      <c r="C12" t="inlineStr">
        <is>
          <t>B-2. Reseeding of native grasses — Restoration of degraded rangelands by sowing suitable native grass species.</t>
        </is>
      </c>
      <c r="E12" t="n">
        <v>320</v>
      </c>
      <c r="F12" t="inlineStr">
        <is>
          <t>N/A</t>
        </is>
      </c>
      <c r="G12" t="n">
        <v>15000</v>
      </c>
      <c r="H12" t="n">
        <v>480</v>
      </c>
      <c r="I12" t="inlineStr">
        <is>
          <t>N/A</t>
        </is>
      </c>
      <c r="J12" t="n">
        <v>22000</v>
      </c>
      <c r="K12" t="n">
        <v>620</v>
      </c>
      <c r="L12" t="inlineStr">
        <is>
          <t>N/A</t>
        </is>
      </c>
      <c r="P12" t="inlineStr">
        <is>
          <t>Native grass species: Chrysopogon aucheri, Cenchrus ciliaris; seed procurement records available.</t>
        </is>
      </c>
    </row>
    <row r="13">
      <c r="A13" t="inlineStr">
        <is>
          <t>Freshwater</t>
        </is>
      </c>
      <c r="B13" t="inlineStr">
        <is>
          <t>Balochistan Rangelands Resilience Project</t>
        </is>
      </c>
      <c r="C13" t="inlineStr">
        <is>
          <t>B-3. Planting/sowing of palatable native trees and shrubs — Establishing native fodder trees and shrubs to improve rangeland productivity and resilience.</t>
        </is>
      </c>
      <c r="D13" t="n">
        <v>6200</v>
      </c>
      <c r="E13" t="n">
        <v>95</v>
      </c>
      <c r="F13" t="n">
        <v>73</v>
      </c>
      <c r="G13" t="n">
        <v>8500</v>
      </c>
      <c r="H13" t="n">
        <v>140</v>
      </c>
      <c r="I13" t="n">
        <v>76</v>
      </c>
      <c r="J13" t="n">
        <v>10100</v>
      </c>
      <c r="K13" t="n">
        <v>170</v>
      </c>
      <c r="L13" t="n">
        <v>79</v>
      </c>
      <c r="M13" t="n">
        <v>12000</v>
      </c>
      <c r="N13" t="n">
        <v>200</v>
      </c>
      <c r="O13" t="n">
        <v>81</v>
      </c>
      <c r="P13" t="inlineStr">
        <is>
          <t>Species: Zizyphus nummularia, Haloxylon recurvum; Source: BRR project M&amp;E quarterly reports.</t>
        </is>
      </c>
    </row>
    <row r="14">
      <c r="C14" t="inlineStr">
        <is>
          <t>C. WATERSHED MANAGEMENT AND FLOOD-CONTROL MEASURES</t>
        </is>
      </c>
    </row>
    <row r="15">
      <c r="A15" t="inlineStr">
        <is>
          <t>Freshwater</t>
        </is>
      </c>
      <c r="B15" t="inlineStr">
        <is>
          <t>Upper Swat Watershed Restoration – KP</t>
        </is>
      </c>
      <c r="C15" t="inlineStr">
        <is>
          <t>C-1. Slope stabilization through bioengineering — Such as brushwood layering, vegetated/soft-gabion retaining structures and closely spaced planting.</t>
        </is>
      </c>
      <c r="E15" t="n">
        <v>18</v>
      </c>
      <c r="F15" t="inlineStr">
        <is>
          <t>N/A</t>
        </is>
      </c>
      <c r="H15" t="n">
        <v>32</v>
      </c>
      <c r="I15" t="inlineStr">
        <is>
          <t>N/A</t>
        </is>
      </c>
      <c r="K15" t="n">
        <v>47</v>
      </c>
      <c r="L15" t="inlineStr">
        <is>
          <t>N/A</t>
        </is>
      </c>
      <c r="P15" t="inlineStr">
        <is>
          <t>Brushwood layering + vetiver grass strips along 14 km of erosion-prone slopes; Source: Civil works completion report 2024.</t>
        </is>
      </c>
    </row>
    <row r="16">
      <c r="A16" t="inlineStr">
        <is>
          <t>Freshwater</t>
        </is>
      </c>
      <c r="B16" t="inlineStr">
        <is>
          <t>Upper Swat Watershed Restoration – KP</t>
        </is>
      </c>
      <c r="C16" t="inlineStr">
        <is>
          <t>C-2. Vegetated flood-control structures — Such as live spurs and brushwood check dams.</t>
        </is>
      </c>
      <c r="E16" t="n">
        <v>8.5</v>
      </c>
      <c r="F16" t="inlineStr">
        <is>
          <t>N/A</t>
        </is>
      </c>
      <c r="H16" t="n">
        <v>14</v>
      </c>
      <c r="I16" t="inlineStr">
        <is>
          <t>N/A</t>
        </is>
      </c>
      <c r="K16" t="n">
        <v>19.5</v>
      </c>
      <c r="L16" t="inlineStr">
        <is>
          <t>N/A</t>
        </is>
      </c>
      <c r="P16" t="inlineStr">
        <is>
          <t>22 live brushwood spurs + 36 brushwood check dams installed; post-flood inspection June 2024 confirmed structural integrity.</t>
        </is>
      </c>
    </row>
    <row r="17">
      <c r="A17" t="inlineStr">
        <is>
          <t>Freshwater</t>
        </is>
      </c>
      <c r="B17" t="inlineStr">
        <is>
          <t>Chitral Integrated Flood Risk Management</t>
        </is>
      </c>
      <c r="C17" t="inlineStr">
        <is>
          <t>C-3. Combined engineering and vegetative measures — Such as vegetated loose-stone spurs for flood control and slope stabilization.</t>
        </is>
      </c>
      <c r="E17" t="n">
        <v>5.2</v>
      </c>
      <c r="F17" t="inlineStr">
        <is>
          <t>N/A</t>
        </is>
      </c>
      <c r="H17" t="n">
        <v>9.800000000000001</v>
      </c>
      <c r="I17" t="inlineStr">
        <is>
          <t>N/A</t>
        </is>
      </c>
      <c r="K17" t="n">
        <v>14.3</v>
      </c>
      <c r="L17" t="inlineStr">
        <is>
          <t>N/A</t>
        </is>
      </c>
      <c r="P17" t="inlineStr">
        <is>
          <t>Vegetated loose-stone spurs combined with willow stakes; Source: CIFRM Year-2 progress report.</t>
        </is>
      </c>
    </row>
    <row r="18">
      <c r="C18" t="inlineStr">
        <is>
          <t>D. OTHER FORESTRY-RELATED MEASURES</t>
        </is>
      </c>
    </row>
    <row r="19">
      <c r="A19" t="inlineStr">
        <is>
          <t>Forests</t>
        </is>
      </c>
      <c r="B19" t="inlineStr">
        <is>
          <t>Billion Tree Tsunami – KP Phase II</t>
        </is>
      </c>
      <c r="C19" t="inlineStr">
        <is>
          <t>D-1. Fruit plants under forestry-related projects — Planting or distribution as part of forestry, rangeland or watershed-management interventions.</t>
        </is>
      </c>
      <c r="D19" t="n">
        <v>12500</v>
      </c>
      <c r="E19" t="n">
        <v>28</v>
      </c>
      <c r="F19" t="n">
        <v>80</v>
      </c>
      <c r="G19" t="n">
        <v>16800</v>
      </c>
      <c r="H19" t="n">
        <v>38.5</v>
      </c>
      <c r="I19" t="n">
        <v>83</v>
      </c>
      <c r="J19" t="n">
        <v>19200</v>
      </c>
      <c r="K19" t="n">
        <v>44</v>
      </c>
      <c r="L19" t="n">
        <v>85</v>
      </c>
      <c r="P19" t="inlineStr">
        <is>
          <t>Fruit species: mango, guava, apricot, pomegranate; distributed to 1,240 households; verified via beneficiary lists.</t>
        </is>
      </c>
    </row>
    <row r="20">
      <c r="A20" t="inlineStr">
        <is>
          <t>Forests</t>
        </is>
      </c>
      <c r="B20" t="inlineStr">
        <is>
          <t>Wild Olive Restoration – FATA/KP Merged Districts</t>
        </is>
      </c>
      <c r="C20" t="inlineStr">
        <is>
          <t>D-2. Grafting of naturally occurring wild olive trees.</t>
        </is>
      </c>
      <c r="D20" t="n">
        <v>3200</v>
      </c>
      <c r="F20" t="n">
        <v>70</v>
      </c>
      <c r="G20" t="n">
        <v>4800</v>
      </c>
      <c r="I20" t="n">
        <v>74</v>
      </c>
      <c r="J20" t="n">
        <v>5500</v>
      </c>
      <c r="L20" t="n">
        <v>77</v>
      </c>
      <c r="M20" t="n">
        <v>6100</v>
      </c>
      <c r="O20" t="n">
        <v>79</v>
      </c>
      <c r="P20" t="inlineStr">
        <is>
          <t>Grafting of Olea ferruginea with cultivated olive varieties; Source: FATA Secretariat extension records.</t>
        </is>
      </c>
    </row>
    <row r="21">
      <c r="A21" t="inlineStr">
        <is>
          <t>Forests</t>
        </is>
      </c>
      <c r="B21" t="inlineStr">
        <is>
          <t>Green Pakistan Initiative – Federal</t>
        </is>
      </c>
      <c r="C21" t="inlineStr">
        <is>
          <t>D-3. Distribution of seedlings — Provision to farmers, schools, communities or institutions for subsequent planting.</t>
        </is>
      </c>
      <c r="D21" t="n">
        <v>85000</v>
      </c>
      <c r="F21" t="inlineStr">
        <is>
          <t>N/A</t>
        </is>
      </c>
      <c r="G21" t="n">
        <v>120000</v>
      </c>
      <c r="I21" t="inlineStr">
        <is>
          <t>N/A</t>
        </is>
      </c>
      <c r="J21" t="n">
        <v>145000</v>
      </c>
      <c r="L21" t="inlineStr">
        <is>
          <t>N/A</t>
        </is>
      </c>
      <c r="P21" t="inlineStr">
        <is>
          <t>Seedlings distributed to farmers, schools and communities; distribution verified; planted survival not tracked separately.</t>
        </is>
      </c>
    </row>
    <row r="22">
      <c r="A22" t="inlineStr">
        <is>
          <t>Forests</t>
        </is>
      </c>
      <c r="B22" t="inlineStr">
        <is>
          <t>National Environment Day &amp; Planting Campaigns</t>
        </is>
      </c>
      <c r="C22" t="inlineStr">
        <is>
          <t>D-4. Campaign/event plantations — Plants established during environmental campaigns, commemorative events or public plantation drives.</t>
        </is>
      </c>
      <c r="D22" t="n">
        <v>35000</v>
      </c>
      <c r="E22" t="n">
        <v>22</v>
      </c>
      <c r="F22" t="inlineStr">
        <is>
          <t>N/A</t>
        </is>
      </c>
      <c r="G22" t="n">
        <v>48000</v>
      </c>
      <c r="H22" t="n">
        <v>30.5</v>
      </c>
      <c r="I22" t="inlineStr">
        <is>
          <t>N/A</t>
        </is>
      </c>
      <c r="J22" t="n">
        <v>52000</v>
      </c>
      <c r="K22" t="n">
        <v>34</v>
      </c>
      <c r="L22" t="inlineStr">
        <is>
          <t>N/A</t>
        </is>
      </c>
      <c r="P22" t="inlineStr">
        <is>
          <t>Events: World Environment Day (June 5), Pakistan Day campaigns; geotagged photos archived; plantation register available.</t>
        </is>
      </c>
    </row>
    <row r="23">
      <c r="A23" t="inlineStr">
        <is>
          <t>Forests</t>
        </is>
      </c>
      <c r="B23" t="inlineStr">
        <is>
          <t>Community Forest Protection – AJK</t>
        </is>
      </c>
      <c r="C23" t="inlineStr">
        <is>
          <t>D-5. Forest/community protection — Protection of existing forest or tree cover through agreements, watchers, fencing, fire management or related measures.</t>
        </is>
      </c>
      <c r="E23" t="n">
        <v>3800</v>
      </c>
      <c r="F23" t="inlineStr">
        <is>
          <t>N/A</t>
        </is>
      </c>
      <c r="H23" t="n">
        <v>4200</v>
      </c>
      <c r="I23" t="inlineStr">
        <is>
          <t>N/A</t>
        </is>
      </c>
      <c r="K23" t="n">
        <v>4600</v>
      </c>
      <c r="L23" t="inlineStr">
        <is>
          <t>N/A</t>
        </is>
      </c>
      <c r="N23" t="n">
        <v>5100</v>
      </c>
      <c r="O23" t="inlineStr">
        <is>
          <t>N/A</t>
        </is>
      </c>
      <c r="P23" t="inlineStr">
        <is>
          <t>Community Forest Mgt Agreements with 28 villages; 34 FTE watchers deployed; Source: AJK Forests Dept MoU signed 2023.</t>
        </is>
      </c>
    </row>
    <row r="24">
      <c r="A24" t="inlineStr">
        <is>
          <t>Food</t>
        </is>
      </c>
      <c r="B24" t="inlineStr">
        <is>
          <t>Climate-Smart Agriculture &amp; Agroforestry – Balochistan</t>
        </is>
      </c>
      <c r="C24" t="inlineStr">
        <is>
          <t>D-6. Agroforestry/farm forestry — Integration of trees on farms or agricultural land.</t>
        </is>
      </c>
      <c r="D24" t="n">
        <v>18000</v>
      </c>
      <c r="E24" t="n">
        <v>85</v>
      </c>
      <c r="F24" t="n">
        <v>76</v>
      </c>
      <c r="G24" t="n">
        <v>26000</v>
      </c>
      <c r="H24" t="n">
        <v>120</v>
      </c>
      <c r="I24" t="n">
        <v>79</v>
      </c>
      <c r="J24" t="n">
        <v>34000</v>
      </c>
      <c r="K24" t="n">
        <v>158</v>
      </c>
      <c r="L24" t="n">
        <v>82</v>
      </c>
      <c r="P24" t="inlineStr">
        <is>
          <t>Poplar, Eucalyptus &amp; Moringa integrated on 850 farms; Source: CSA project farmer records &amp; field verification reports.</t>
        </is>
      </c>
    </row>
    <row r="25">
      <c r="A25" t="inlineStr">
        <is>
          <t>Marine</t>
        </is>
      </c>
      <c r="B25" t="inlineStr">
        <is>
          <t>Indus Delta Mangrove Restoration – Sindh</t>
        </is>
      </c>
      <c r="C25" t="inlineStr">
        <is>
          <t>D-7. Mangrove/coastal forest restoration.</t>
        </is>
      </c>
      <c r="E25" t="n">
        <v>520</v>
      </c>
      <c r="F25" t="inlineStr">
        <is>
          <t>N/A</t>
        </is>
      </c>
      <c r="H25" t="n">
        <v>720</v>
      </c>
      <c r="I25" t="inlineStr">
        <is>
          <t>N/A</t>
        </is>
      </c>
      <c r="K25" t="n">
        <v>960</v>
      </c>
      <c r="L25" t="inlineStr">
        <is>
          <t>N/A</t>
        </is>
      </c>
      <c r="N25" t="n">
        <v>1200</v>
      </c>
      <c r="O25" t="inlineStr">
        <is>
          <t>N/A</t>
        </is>
      </c>
      <c r="P25" t="inlineStr">
        <is>
          <t>Species: Avicennia marina, Rhizophora mucronata; community-based protection; Source: IDMR satellite imagery analysis 2024.</t>
        </is>
      </c>
    </row>
    <row r="26">
      <c r="A26" t="inlineStr">
        <is>
          <t>Forests</t>
        </is>
      </c>
      <c r="B26" t="inlineStr">
        <is>
          <t>Urban Greening &amp; School Plantation Initiative – Punjab</t>
        </is>
      </c>
      <c r="C26" t="inlineStr">
        <is>
          <t>D-8. Other forestry-related intervention — Please specify clearly.</t>
        </is>
      </c>
      <c r="D26" t="n">
        <v>28000</v>
      </c>
      <c r="E26" t="n">
        <v>14</v>
      </c>
      <c r="F26" t="n">
        <v>72</v>
      </c>
      <c r="G26" t="n">
        <v>36000</v>
      </c>
      <c r="H26" t="n">
        <v>18.5</v>
      </c>
      <c r="I26" t="n">
        <v>75</v>
      </c>
      <c r="P26" t="inlineStr">
        <is>
          <t>Urban tree planting in Lahore, Faisalabad, Multan; species: Ficus, Conocarpus, Dalbergia; Source: Punjab Env. Dept records.</t>
        </is>
      </c>
    </row>
    <row r="27"/>
    <row r="28">
      <c r="A28" t="inlineStr">
        <is>
          <t>REPORTING NOTES</t>
        </is>
      </c>
    </row>
    <row r="29">
      <c r="A29" t="inlineStr">
        <is>
          <t>1. Report achievements completed during each calendar year; if figures are based on a financial year, explain this in Remarks.</t>
        </is>
      </c>
    </row>
    <row r="30">
      <c r="A30" t="inlineStr">
        <is>
          <t>2. Enter plants distributed separately from plants verified as planted; clearly identify distribution-only figures in Remarks.</t>
        </is>
      </c>
    </row>
    <row r="31">
      <c r="A31" t="inlineStr">
        <is>
          <t>3. For Assisted Natural Regeneration, report naturally regenerated stems only where estimated through a documented inventory or sampling method.</t>
        </is>
      </c>
    </row>
    <row r="32">
      <c r="A32" t="inlineStr">
        <is>
          <t>4. Estimated survival/regeneration rate should be based on the latest available field assessment; enter “N/A” where the indicator is not applicable.</t>
        </is>
      </c>
    </row>
    <row r="33">
      <c r="A33" t="inlineStr">
        <is>
          <t>5. Avoid double counting areas where two or more interventions overlap. Mention the overlap and the primary intervention under which the area is counted.</t>
        </is>
      </c>
    </row>
    <row r="34">
      <c r="A34" t="inlineStr">
        <is>
          <t>6. Cite the supporting source in Remarks, such as a project report, GIS/GPS record, plantation register, monitoring report or geotagged photographs.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2026-08-29T05:59:35Z</dcterms:created>
  <dcterms:modified xmlns:dcterms="http://purl.org/dc/terms/" xmlns:xsi="http://www.w3.org/2001/XMLSchema-instance" xsi:type="dcterms:W3CDTF">2026-08-29T05:59:35Z</dcterms:modified>
</cp:coreProperties>
</file>